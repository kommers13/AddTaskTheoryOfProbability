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сходные данные" sheetId="1" state="visible" r:id="rId3"/>
    <sheet name="k=20" sheetId="2" state="visible" r:id="rId4"/>
    <sheet name="k=50" sheetId="3" state="visible" r:id="rId5"/>
    <sheet name="k=100" sheetId="4" state="visible" r:id="rId6"/>
    <sheet name="k=150" sheetId="5" state="visible" r:id="rId7"/>
    <sheet name="k=200" sheetId="6" state="visible" r:id="rId8"/>
    <sheet name="k=275" sheetId="7" state="visible" r:id="rId9"/>
    <sheet name="k=350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<sst xmlns="http://schemas.openxmlformats.org/spreadsheetml/2006/main" count="73" uniqueCount="12">
  <si>
    <t xml:space="preserve">Xi</t>
  </si>
  <si>
    <t xml:space="preserve">Si</t>
  </si>
  <si>
    <t xml:space="preserve">μ</t>
  </si>
  <si>
    <t xml:space="preserve">σ</t>
  </si>
  <si>
    <t xml:space="preserve"> </t>
  </si>
  <si>
    <t xml:space="preserve">Шаг</t>
  </si>
  <si>
    <t xml:space="preserve">Плотность распределения</t>
  </si>
  <si>
    <t xml:space="preserve">Функция распределения</t>
  </si>
  <si>
    <t xml:space="preserve">(μ-3σ) =</t>
  </si>
  <si>
    <t xml:space="preserve">μ =</t>
  </si>
  <si>
    <t xml:space="preserve">σ =</t>
  </si>
  <si>
    <t xml:space="preserve">(μ+3σ) =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</si>
</sst>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Arial"/>
      <family val="2"/>
    </font>
    <font>
      <b val="true"/>
      <sz val="10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Плотность распределения для k=20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'k=20'!$I$2:$I$21</c:f>
              <c:numCache>
                <c:formatCode>General</c:formatCode>
                <c:ptCount val="20"/>
                <c:pt idx="0">
                  <c:v>0.0181908026890141</c:v>
                </c:pt>
                <c:pt idx="1">
                  <c:v>0.0446307482800451</c:v>
                </c:pt>
                <c:pt idx="2">
                  <c:v>0.099107684213055</c:v>
                </c:pt>
                <c:pt idx="3">
                  <c:v>0.199191748310535</c:v>
                </c:pt>
                <c:pt idx="4">
                  <c:v>0.362348287803115</c:v>
                </c:pt>
                <c:pt idx="5">
                  <c:v>0.596584462742815</c:v>
                </c:pt>
                <c:pt idx="6">
                  <c:v>0.889013832930682</c:v>
                </c:pt>
                <c:pt idx="7">
                  <c:v>1.19904630092233</c:v>
                </c:pt>
                <c:pt idx="8">
                  <c:v>1.46370731625497</c:v>
                </c:pt>
                <c:pt idx="9">
                  <c:v>1.6171987189626</c:v>
                </c:pt>
                <c:pt idx="10">
                  <c:v>1.6171987189626</c:v>
                </c:pt>
                <c:pt idx="11">
                  <c:v>1.46370731625497</c:v>
                </c:pt>
                <c:pt idx="12">
                  <c:v>1.19904630092233</c:v>
                </c:pt>
                <c:pt idx="13">
                  <c:v>0.889013832930683</c:v>
                </c:pt>
                <c:pt idx="14">
                  <c:v>0.596584462742816</c:v>
                </c:pt>
                <c:pt idx="15">
                  <c:v>0.362348287803116</c:v>
                </c:pt>
                <c:pt idx="16">
                  <c:v>0.199191748310535</c:v>
                </c:pt>
                <c:pt idx="17">
                  <c:v>0.0991076842130554</c:v>
                </c:pt>
                <c:pt idx="18">
                  <c:v>0.0446307482800453</c:v>
                </c:pt>
                <c:pt idx="19">
                  <c:v>0.0181908026890142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558538"/>
        <c:axId val="11278610"/>
      </c:lineChart>
      <c:catAx>
        <c:axId val="445585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278610"/>
        <c:crosses val="autoZero"/>
        <c:auto val="1"/>
        <c:lblAlgn val="ctr"/>
        <c:lblOffset val="100"/>
        <c:noMultiLvlLbl val="0"/>
      </c:catAx>
      <c:valAx>
        <c:axId val="112786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5585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Функция распределения для k=20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'k=20'!$J$2:$J$21</c:f>
              <c:numCache>
                <c:formatCode>General</c:formatCode>
                <c:ptCount val="20"/>
                <c:pt idx="0">
                  <c:v>0.00134989803163009</c:v>
                </c:pt>
                <c:pt idx="1">
                  <c:v>0.00363506551966495</c:v>
                </c:pt>
                <c:pt idx="2">
                  <c:v>0.00893209625607214</c:v>
                </c:pt>
                <c:pt idx="3">
                  <c:v>0.0200541612246806</c:v>
                </c:pt>
                <c:pt idx="4">
                  <c:v>0.0412075223724017</c:v>
                </c:pt>
                <c:pt idx="5">
                  <c:v>0.0776507296135614</c:v>
                </c:pt>
                <c:pt idx="6">
                  <c:v>0.134522788493091</c:v>
                </c:pt>
                <c:pt idx="7">
                  <c:v>0.214917602311272</c:v>
                </c:pt>
                <c:pt idx="8">
                  <c:v>0.317862557254859</c:v>
                </c:pt>
                <c:pt idx="9">
                  <c:v>0.437269872716403</c:v>
                </c:pt>
                <c:pt idx="10">
                  <c:v>0.562730127283597</c:v>
                </c:pt>
                <c:pt idx="11">
                  <c:v>0.682137442745141</c:v>
                </c:pt>
                <c:pt idx="12">
                  <c:v>0.785082397688728</c:v>
                </c:pt>
                <c:pt idx="13">
                  <c:v>0.865477211506909</c:v>
                </c:pt>
                <c:pt idx="14">
                  <c:v>0.922349270386438</c:v>
                </c:pt>
                <c:pt idx="15">
                  <c:v>0.958792477627598</c:v>
                </c:pt>
                <c:pt idx="16">
                  <c:v>0.979945838775319</c:v>
                </c:pt>
                <c:pt idx="17">
                  <c:v>0.991067903743928</c:v>
                </c:pt>
                <c:pt idx="18">
                  <c:v>0.996364934480335</c:v>
                </c:pt>
                <c:pt idx="19">
                  <c:v>0.99865010196837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899262"/>
        <c:axId val="97885959"/>
      </c:lineChart>
      <c:catAx>
        <c:axId val="618992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885959"/>
        <c:crosses val="autoZero"/>
        <c:auto val="1"/>
        <c:lblAlgn val="ctr"/>
        <c:lblOffset val="100"/>
        <c:noMultiLvlLbl val="0"/>
      </c:catAx>
      <c:valAx>
        <c:axId val="978859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8992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Плотность распределения для k=50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'k=50'!$I$2:$I$51</c:f>
              <c:numCache>
                <c:formatCode>General</c:formatCode>
                <c:ptCount val="50"/>
                <c:pt idx="0">
                  <c:v>0.0157017058855254</c:v>
                </c:pt>
                <c:pt idx="1">
                  <c:v>0.0225023427059504</c:v>
                </c:pt>
                <c:pt idx="2">
                  <c:v>0.0317685159195791</c:v>
                </c:pt>
                <c:pt idx="3">
                  <c:v>0.0441829200941367</c:v>
                </c:pt>
                <c:pt idx="4">
                  <c:v>0.0605341153297176</c:v>
                </c:pt>
                <c:pt idx="5">
                  <c:v>0.0817022995649568</c:v>
                </c:pt>
                <c:pt idx="6">
                  <c:v>0.108631720162353</c:v>
                </c:pt>
                <c:pt idx="7">
                  <c:v>0.142287690036815</c:v>
                </c:pt>
                <c:pt idx="8">
                  <c:v>0.183597302990851</c:v>
                </c:pt>
                <c:pt idx="9">
                  <c:v>0.23337458652372</c:v>
                </c:pt>
                <c:pt idx="10">
                  <c:v>0.29223290937768</c:v>
                </c:pt>
                <c:pt idx="11">
                  <c:v>0.360489797597774</c:v>
                </c:pt>
                <c:pt idx="12">
                  <c:v>0.438071631597527</c:v>
                </c:pt>
                <c:pt idx="13">
                  <c:v>0.524427646473951</c:v>
                </c:pt>
                <c:pt idx="14">
                  <c:v>0.618463854372013</c:v>
                </c:pt>
                <c:pt idx="15">
                  <c:v>0.718507594475615</c:v>
                </c:pt>
                <c:pt idx="16">
                  <c:v>0.822312134620596</c:v>
                </c:pt>
                <c:pt idx="17">
                  <c:v>0.927108005548726</c:v>
                </c:pt>
                <c:pt idx="18">
                  <c:v>1.02970366695143</c:v>
                </c:pt>
                <c:pt idx="19">
                  <c:v>1.12663304028099</c:v>
                </c:pt>
                <c:pt idx="20">
                  <c:v>1.21434196500815</c:v>
                </c:pt>
                <c:pt idx="21">
                  <c:v>1.289400456461</c:v>
                </c:pt>
                <c:pt idx="22">
                  <c:v>1.34872352176682</c:v>
                </c:pt>
                <c:pt idx="23">
                  <c:v>1.38978090292003</c:v>
                </c:pt>
                <c:pt idx="24">
                  <c:v>1.41077593780277</c:v>
                </c:pt>
                <c:pt idx="25">
                  <c:v>1.41077593780277</c:v>
                </c:pt>
                <c:pt idx="26">
                  <c:v>1.38978090292003</c:v>
                </c:pt>
                <c:pt idx="27">
                  <c:v>1.34872352176682</c:v>
                </c:pt>
                <c:pt idx="28">
                  <c:v>1.289400456461</c:v>
                </c:pt>
                <c:pt idx="29">
                  <c:v>1.21434196500815</c:v>
                </c:pt>
                <c:pt idx="30">
                  <c:v>1.12663304028099</c:v>
                </c:pt>
                <c:pt idx="31">
                  <c:v>1.02970366695143</c:v>
                </c:pt>
                <c:pt idx="32">
                  <c:v>0.927108005548727</c:v>
                </c:pt>
                <c:pt idx="33">
                  <c:v>0.822312134620596</c:v>
                </c:pt>
                <c:pt idx="34">
                  <c:v>0.718507594475615</c:v>
                </c:pt>
                <c:pt idx="35">
                  <c:v>0.618463854372014</c:v>
                </c:pt>
                <c:pt idx="36">
                  <c:v>0.524427646473952</c:v>
                </c:pt>
                <c:pt idx="37">
                  <c:v>0.438071631597527</c:v>
                </c:pt>
                <c:pt idx="38">
                  <c:v>0.360489797597774</c:v>
                </c:pt>
                <c:pt idx="39">
                  <c:v>0.292232909377681</c:v>
                </c:pt>
                <c:pt idx="40">
                  <c:v>0.23337458652372</c:v>
                </c:pt>
                <c:pt idx="41">
                  <c:v>0.183597302990851</c:v>
                </c:pt>
                <c:pt idx="42">
                  <c:v>0.142287690036815</c:v>
                </c:pt>
                <c:pt idx="43">
                  <c:v>0.108631720162353</c:v>
                </c:pt>
                <c:pt idx="44">
                  <c:v>0.0817022995649564</c:v>
                </c:pt>
                <c:pt idx="45">
                  <c:v>0.0605341153297173</c:v>
                </c:pt>
                <c:pt idx="46">
                  <c:v>0.0441829200941365</c:v>
                </c:pt>
                <c:pt idx="47">
                  <c:v>0.0317685159195789</c:v>
                </c:pt>
                <c:pt idx="48">
                  <c:v>0.0225023427059502</c:v>
                </c:pt>
                <c:pt idx="49">
                  <c:v>0.0157017058855252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222040"/>
        <c:axId val="15884836"/>
      </c:lineChart>
      <c:catAx>
        <c:axId val="18222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884836"/>
        <c:crosses val="autoZero"/>
        <c:auto val="1"/>
        <c:lblAlgn val="ctr"/>
        <c:lblOffset val="100"/>
        <c:noMultiLvlLbl val="0"/>
      </c:catAx>
      <c:valAx>
        <c:axId val="158848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22204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Функция распределения для k=50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'k=50'!$J$2:$J$51</c:f>
              <c:numCache>
                <c:formatCode>General</c:formatCode>
                <c:ptCount val="50"/>
                <c:pt idx="0">
                  <c:v>0.00134989803163009</c:v>
                </c:pt>
                <c:pt idx="1">
                  <c:v>0.00200387547931102</c:v>
                </c:pt>
                <c:pt idx="2">
                  <c:v>0.0029336916705086</c:v>
                </c:pt>
                <c:pt idx="3">
                  <c:v>0.00423604197799888</c:v>
                </c:pt>
                <c:pt idx="4">
                  <c:v>0.00603307026556419</c:v>
                </c:pt>
                <c:pt idx="5">
                  <c:v>0.00847581675693694</c:v>
                </c:pt>
                <c:pt idx="6">
                  <c:v>0.0117469503007989</c:v>
                </c:pt>
                <c:pt idx="7">
                  <c:v>0.0160622856038283</c:v>
                </c:pt>
                <c:pt idx="8">
                  <c:v>0.0216705336857596</c:v>
                </c:pt>
                <c:pt idx="9">
                  <c:v>0.0288507295058293</c:v>
                </c:pt>
                <c:pt idx="10">
                  <c:v>0.0379068411005998</c:v>
                </c:pt>
                <c:pt idx="11">
                  <c:v>0.0491592019255945</c:v>
                </c:pt>
                <c:pt idx="12">
                  <c:v>0.0629326268108512</c:v>
                </c:pt>
                <c:pt idx="13">
                  <c:v>0.0795413655075694</c:v>
                </c:pt>
                <c:pt idx="14">
                  <c:v>0.099271396843331</c:v>
                </c:pt>
                <c:pt idx="15">
                  <c:v>0.122360938644497</c:v>
                </c:pt>
                <c:pt idx="16">
                  <c:v>0.148980400617389</c:v>
                </c:pt>
                <c:pt idx="17">
                  <c:v>0.179213289842405</c:v>
                </c:pt>
                <c:pt idx="18">
                  <c:v>0.21303974236887</c:v>
                </c:pt>
                <c:pt idx="19">
                  <c:v>0.250324358826079</c:v>
                </c:pt>
                <c:pt idx="20">
                  <c:v>0.290809842319687</c:v>
                </c:pt>
                <c:pt idx="21">
                  <c:v>0.334117570897625</c:v>
                </c:pt>
                <c:pt idx="22">
                  <c:v>0.379755708037786</c:v>
                </c:pt>
                <c:pt idx="23">
                  <c:v>0.427134811575612</c:v>
                </c:pt>
                <c:pt idx="24">
                  <c:v>0.4755902131389</c:v>
                </c:pt>
                <c:pt idx="25">
                  <c:v>0.5244097868611</c:v>
                </c:pt>
                <c:pt idx="26">
                  <c:v>0.572865188424388</c:v>
                </c:pt>
                <c:pt idx="27">
                  <c:v>0.620244291962214</c:v>
                </c:pt>
                <c:pt idx="28">
                  <c:v>0.665882429102375</c:v>
                </c:pt>
                <c:pt idx="29">
                  <c:v>0.709190157680313</c:v>
                </c:pt>
                <c:pt idx="30">
                  <c:v>0.749675641173921</c:v>
                </c:pt>
                <c:pt idx="31">
                  <c:v>0.786960257631129</c:v>
                </c:pt>
                <c:pt idx="32">
                  <c:v>0.820786710157595</c:v>
                </c:pt>
                <c:pt idx="33">
                  <c:v>0.851019599382611</c:v>
                </c:pt>
                <c:pt idx="34">
                  <c:v>0.877639061355503</c:v>
                </c:pt>
                <c:pt idx="35">
                  <c:v>0.900728603156669</c:v>
                </c:pt>
                <c:pt idx="36">
                  <c:v>0.920458634492431</c:v>
                </c:pt>
                <c:pt idx="37">
                  <c:v>0.937067373189149</c:v>
                </c:pt>
                <c:pt idx="38">
                  <c:v>0.950840798074405</c:v>
                </c:pt>
                <c:pt idx="39">
                  <c:v>0.9620931588994</c:v>
                </c:pt>
                <c:pt idx="40">
                  <c:v>0.971149270494171</c:v>
                </c:pt>
                <c:pt idx="41">
                  <c:v>0.97832946631424</c:v>
                </c:pt>
                <c:pt idx="42">
                  <c:v>0.983937714396172</c:v>
                </c:pt>
                <c:pt idx="43">
                  <c:v>0.988253049699201</c:v>
                </c:pt>
                <c:pt idx="44">
                  <c:v>0.991524183243063</c:v>
                </c:pt>
                <c:pt idx="45">
                  <c:v>0.993966929734436</c:v>
                </c:pt>
                <c:pt idx="46">
                  <c:v>0.995763958022001</c:v>
                </c:pt>
                <c:pt idx="47">
                  <c:v>0.997066308329491</c:v>
                </c:pt>
                <c:pt idx="48">
                  <c:v>0.997996124520689</c:v>
                </c:pt>
                <c:pt idx="49">
                  <c:v>0.99865010196837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09005"/>
        <c:axId val="90017602"/>
      </c:lineChart>
      <c:catAx>
        <c:axId val="800090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017602"/>
        <c:crosses val="autoZero"/>
        <c:auto val="1"/>
        <c:lblAlgn val="ctr"/>
        <c:lblOffset val="100"/>
        <c:noMultiLvlLbl val="0"/>
      </c:catAx>
      <c:valAx>
        <c:axId val="900176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0090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Плотность распределения для k=100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'k=100'!$I$2:$I$101</c:f>
              <c:numCache>
                <c:formatCode>General</c:formatCode>
                <c:ptCount val="100"/>
                <c:pt idx="0">
                  <c:v>0.0149878987989043</c:v>
                </c:pt>
                <c:pt idx="1">
                  <c:v>0.0179434431359158</c:v>
                </c:pt>
                <c:pt idx="2">
                  <c:v>0.0214030471748491</c:v>
                </c:pt>
                <c:pt idx="3">
                  <c:v>0.0254360827993197</c:v>
                </c:pt>
                <c:pt idx="4">
                  <c:v>0.0301182439482897</c:v>
                </c:pt>
                <c:pt idx="5">
                  <c:v>0.0355315258880808</c:v>
                </c:pt>
                <c:pt idx="6">
                  <c:v>0.0417640748732761</c:v>
                </c:pt>
                <c:pt idx="7">
                  <c:v>0.0489098879805615</c:v>
                </c:pt>
                <c:pt idx="8">
                  <c:v>0.0570683434037381</c:v>
                </c:pt>
                <c:pt idx="9">
                  <c:v>0.0663435427191498</c:v>
                </c:pt>
                <c:pt idx="10">
                  <c:v>0.0768434486519311</c:v>
                </c:pt>
                <c:pt idx="11">
                  <c:v>0.0886788047610026</c:v>
                </c:pt>
                <c:pt idx="12">
                  <c:v>0.10196182725786</c:v>
                </c:pt>
                <c:pt idx="13">
                  <c:v>0.11680466389548</c:v>
                </c:pt>
                <c:pt idx="14">
                  <c:v>0.133317620489618</c:v>
                </c:pt>
                <c:pt idx="15">
                  <c:v>0.151607162107284</c:v>
                </c:pt>
                <c:pt idx="16">
                  <c:v>0.171773703176005</c:v>
                </c:pt>
                <c:pt idx="17">
                  <c:v>0.193909208588196</c:v>
                </c:pt>
                <c:pt idx="18">
                  <c:v>0.21809463610864</c:v>
                </c:pt>
                <c:pt idx="19">
                  <c:v>0.244397258808048</c:v>
                </c:pt>
                <c:pt idx="20">
                  <c:v>0.272867914571619</c:v>
                </c:pt>
                <c:pt idx="21">
                  <c:v>0.303538237665607</c:v>
                </c:pt>
                <c:pt idx="22">
                  <c:v>0.336417934560694</c:v>
                </c:pt>
                <c:pt idx="23">
                  <c:v>0.37149217236925</c:v>
                </c:pt>
                <c:pt idx="24">
                  <c:v>0.40871915301517</c:v>
                </c:pt>
                <c:pt idx="25">
                  <c:v>0.448027949295266</c:v>
                </c:pt>
                <c:pt idx="26">
                  <c:v>0.489316680015449</c:v>
                </c:pt>
                <c:pt idx="27">
                  <c:v>0.532451100144068</c:v>
                </c:pt>
                <c:pt idx="28">
                  <c:v>0.577263678230681</c:v>
                </c:pt>
                <c:pt idx="29">
                  <c:v>0.623553227078349</c:v>
                </c:pt>
                <c:pt idx="30">
                  <c:v>0.671085144805554</c:v>
                </c:pt>
                <c:pt idx="31">
                  <c:v>0.719592312060873</c:v>
                </c:pt>
                <c:pt idx="32">
                  <c:v>0.768776677432678</c:v>
                </c:pt>
                <c:pt idx="33">
                  <c:v>0.818311547304159</c:v>
                </c:pt>
                <c:pt idx="34">
                  <c:v>0.867844578918396</c:v>
                </c:pt>
                <c:pt idx="35">
                  <c:v>0.917001456709305</c:v>
                </c:pt>
                <c:pt idx="36">
                  <c:v>0.965390212572612</c:v>
                </c:pt>
                <c:pt idx="37">
                  <c:v>1.01260613130971</c:v>
                </c:pt>
                <c:pt idx="38">
                  <c:v>1.05823716363146</c:v>
                </c:pt>
                <c:pt idx="39">
                  <c:v>1.10186975153077</c:v>
                </c:pt>
                <c:pt idx="40">
                  <c:v>1.14309495518432</c:v>
                </c:pt>
                <c:pt idx="41">
                  <c:v>1.18151475745109</c:v>
                </c:pt>
                <c:pt idx="42">
                  <c:v>1.21674841205673</c:v>
                </c:pt>
                <c:pt idx="43">
                  <c:v>1.24843869515957</c:v>
                </c:pt>
                <c:pt idx="44">
                  <c:v>1.27625791753853</c:v>
                </c:pt>
                <c:pt idx="45">
                  <c:v>1.29991355634902</c:v>
                </c:pt>
                <c:pt idx="46">
                  <c:v>1.31915337133337</c:v>
                </c:pt>
                <c:pt idx="47">
                  <c:v>1.33376988046806</c:v>
                </c:pt>
                <c:pt idx="48">
                  <c:v>1.34360408404518</c:v>
                </c:pt>
                <c:pt idx="49">
                  <c:v>1.34854834373479</c:v>
                </c:pt>
                <c:pt idx="50">
                  <c:v>1.34854834373479</c:v>
                </c:pt>
                <c:pt idx="51">
                  <c:v>1.34360408404518</c:v>
                </c:pt>
                <c:pt idx="52">
                  <c:v>1.33376988046806</c:v>
                </c:pt>
                <c:pt idx="53">
                  <c:v>1.31915337133337</c:v>
                </c:pt>
                <c:pt idx="54">
                  <c:v>1.29991355634902</c:v>
                </c:pt>
                <c:pt idx="55">
                  <c:v>1.27625791753853</c:v>
                </c:pt>
                <c:pt idx="56">
                  <c:v>1.24843869515957</c:v>
                </c:pt>
                <c:pt idx="57">
                  <c:v>1.21674841205673</c:v>
                </c:pt>
                <c:pt idx="58">
                  <c:v>1.18151475745109</c:v>
                </c:pt>
                <c:pt idx="59">
                  <c:v>1.14309495518432</c:v>
                </c:pt>
                <c:pt idx="60">
                  <c:v>1.10186975153077</c:v>
                </c:pt>
                <c:pt idx="61">
                  <c:v>1.05823716363146</c:v>
                </c:pt>
                <c:pt idx="62">
                  <c:v>1.01260613130971</c:v>
                </c:pt>
                <c:pt idx="63">
                  <c:v>0.96539021257261</c:v>
                </c:pt>
                <c:pt idx="64">
                  <c:v>0.917001456709303</c:v>
                </c:pt>
                <c:pt idx="65">
                  <c:v>0.867844578918393</c:v>
                </c:pt>
                <c:pt idx="66">
                  <c:v>0.818311547304157</c:v>
                </c:pt>
                <c:pt idx="67">
                  <c:v>0.768776677432675</c:v>
                </c:pt>
                <c:pt idx="68">
                  <c:v>0.71959231206087</c:v>
                </c:pt>
                <c:pt idx="69">
                  <c:v>0.671085144805551</c:v>
                </c:pt>
                <c:pt idx="70">
                  <c:v>0.623553227078345</c:v>
                </c:pt>
                <c:pt idx="71">
                  <c:v>0.577263678230677</c:v>
                </c:pt>
                <c:pt idx="72">
                  <c:v>0.532451100144064</c:v>
                </c:pt>
                <c:pt idx="73">
                  <c:v>0.489316680015445</c:v>
                </c:pt>
                <c:pt idx="74">
                  <c:v>0.448027949295262</c:v>
                </c:pt>
                <c:pt idx="75">
                  <c:v>0.408719153015167</c:v>
                </c:pt>
                <c:pt idx="76">
                  <c:v>0.371492172369247</c:v>
                </c:pt>
                <c:pt idx="77">
                  <c:v>0.33641793456069</c:v>
                </c:pt>
                <c:pt idx="78">
                  <c:v>0.303538237665604</c:v>
                </c:pt>
                <c:pt idx="79">
                  <c:v>0.272867914571616</c:v>
                </c:pt>
                <c:pt idx="80">
                  <c:v>0.244397258808046</c:v>
                </c:pt>
                <c:pt idx="81">
                  <c:v>0.218094636108638</c:v>
                </c:pt>
                <c:pt idx="82">
                  <c:v>0.193909208588193</c:v>
                </c:pt>
                <c:pt idx="83">
                  <c:v>0.171773703176002</c:v>
                </c:pt>
                <c:pt idx="84">
                  <c:v>0.151607162107282</c:v>
                </c:pt>
                <c:pt idx="85">
                  <c:v>0.133317620489616</c:v>
                </c:pt>
                <c:pt idx="86">
                  <c:v>0.116804663895478</c:v>
                </c:pt>
                <c:pt idx="87">
                  <c:v>0.101961827257858</c:v>
                </c:pt>
                <c:pt idx="88">
                  <c:v>0.0886788047610011</c:v>
                </c:pt>
                <c:pt idx="89">
                  <c:v>0.0768434486519296</c:v>
                </c:pt>
                <c:pt idx="90">
                  <c:v>0.0663435427191485</c:v>
                </c:pt>
                <c:pt idx="91">
                  <c:v>0.0570683434037369</c:v>
                </c:pt>
                <c:pt idx="92">
                  <c:v>0.0489098879805604</c:v>
                </c:pt>
                <c:pt idx="93">
                  <c:v>0.0417640748732751</c:v>
                </c:pt>
                <c:pt idx="94">
                  <c:v>0.0355315258880799</c:v>
                </c:pt>
                <c:pt idx="95">
                  <c:v>0.0301182439482889</c:v>
                </c:pt>
                <c:pt idx="96">
                  <c:v>0.0254360827993191</c:v>
                </c:pt>
                <c:pt idx="97">
                  <c:v>0.0214030471748486</c:v>
                </c:pt>
                <c:pt idx="98">
                  <c:v>0.0179434431359153</c:v>
                </c:pt>
                <c:pt idx="99">
                  <c:v>0.0149878987989039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731699"/>
        <c:axId val="85871896"/>
      </c:lineChart>
      <c:catAx>
        <c:axId val="267316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5871896"/>
        <c:crosses val="autoZero"/>
        <c:auto val="1"/>
        <c:lblAlgn val="ctr"/>
        <c:lblOffset val="100"/>
        <c:noMultiLvlLbl val="0"/>
      </c:catAx>
      <c:valAx>
        <c:axId val="858718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673169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Функция распределения для k=100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'k=100'!$J$2:$J$101</c:f>
              <c:numCache>
                <c:formatCode>General</c:formatCode>
                <c:ptCount val="100"/>
                <c:pt idx="0">
                  <c:v>0.00134989803163009</c:v>
                </c:pt>
                <c:pt idx="1">
                  <c:v>0.00164427400076629</c:v>
                </c:pt>
                <c:pt idx="2">
                  <c:v>0.00199603372855825</c:v>
                </c:pt>
                <c:pt idx="3">
                  <c:v>0.00241482262796997</c:v>
                </c:pt>
                <c:pt idx="4">
                  <c:v>0.00291158591190611</c:v>
                </c:pt>
                <c:pt idx="5">
                  <c:v>0.00349868188294757</c:v>
                </c:pt>
                <c:pt idx="6">
                  <c:v>0.00418999372050682</c:v>
                </c:pt>
                <c:pt idx="7">
                  <c:v>0.00500103726124804</c:v>
                </c:pt>
                <c:pt idx="8">
                  <c:v>0.00594906190984352</c:v>
                </c:pt>
                <c:pt idx="9">
                  <c:v>0.00705314147368977</c:v>
                </c:pt>
                <c:pt idx="10">
                  <c:v>0.00833425140069568</c:v>
                </c:pt>
                <c:pt idx="11">
                  <c:v>0.00981532862864534</c:v>
                </c:pt>
                <c:pt idx="12">
                  <c:v>0.0115213100438809</c:v>
                </c:pt>
                <c:pt idx="13">
                  <c:v>0.0134791454126251</c:v>
                </c:pt>
                <c:pt idx="14">
                  <c:v>0.0157177806066085</c:v>
                </c:pt>
                <c:pt idx="15">
                  <c:v>0.0182681070115406</c:v>
                </c:pt>
                <c:pt idx="16">
                  <c:v>0.0211628731966962</c:v>
                </c:pt>
                <c:pt idx="17">
                  <c:v>0.0244365552486342</c:v>
                </c:pt>
                <c:pt idx="18">
                  <c:v>0.0281251826409834</c:v>
                </c:pt>
                <c:pt idx="19">
                  <c:v>0.0322661171306944</c:v>
                </c:pt>
                <c:pt idx="20">
                  <c:v>0.0368977829400699</c:v>
                </c:pt>
                <c:pt idx="21">
                  <c:v>0.0420593473989568</c:v>
                </c:pt>
                <c:pt idx="22">
                  <c:v>0.0477903522728147</c:v>
                </c:pt>
                <c:pt idx="23">
                  <c:v>0.0541302971740473</c:v>
                </c:pt>
                <c:pt idx="24">
                  <c:v>0.0611181777240059</c:v>
                </c:pt>
                <c:pt idx="25">
                  <c:v>0.0687919824734732</c:v>
                </c:pt>
                <c:pt idx="26">
                  <c:v>0.0771881539666611</c:v>
                </c:pt>
                <c:pt idx="27">
                  <c:v>0.0863410207093742</c:v>
                </c:pt>
                <c:pt idx="28">
                  <c:v>0.0962822081336195</c:v>
                </c:pt>
                <c:pt idx="29">
                  <c:v>0.107040037893476</c:v>
                </c:pt>
                <c:pt idx="30">
                  <c:v>0.118638925934139</c:v>
                </c:pt>
                <c:pt idx="31">
                  <c:v>0.13109879070173</c:v>
                </c:pt>
                <c:pt idx="32">
                  <c:v>0.144434483561983</c:v>
                </c:pt>
                <c:pt idx="33">
                  <c:v>0.158655253931457</c:v>
                </c:pt>
                <c:pt idx="34">
                  <c:v>0.173764261761687</c:v>
                </c:pt>
                <c:pt idx="35">
                  <c:v>0.189758149828325</c:v>
                </c:pt>
                <c:pt idx="36">
                  <c:v>0.20662668774682</c:v>
                </c:pt>
                <c:pt idx="37">
                  <c:v>0.224352498756818</c:v>
                </c:pt>
                <c:pt idx="38">
                  <c:v>0.242910879094044</c:v>
                </c:pt>
                <c:pt idx="39">
                  <c:v>0.262269718217657</c:v>
                </c:pt>
                <c:pt idx="40">
                  <c:v>0.282389526311524</c:v>
                </c:pt>
                <c:pt idx="41">
                  <c:v>0.303223573370011</c:v>
                </c:pt>
                <c:pt idx="42">
                  <c:v>0.324718141863377</c:v>
                </c:pt>
                <c:pt idx="43">
                  <c:v>0.346812892515208</c:v>
                </c:pt>
                <c:pt idx="44">
                  <c:v>0.369441340181764</c:v>
                </c:pt>
                <c:pt idx="45">
                  <c:v>0.39253143427378</c:v>
                </c:pt>
                <c:pt idx="46">
                  <c:v>0.41600623568032</c:v>
                </c:pt>
                <c:pt idx="47">
                  <c:v>0.439784679817334</c:v>
                </c:pt>
                <c:pt idx="48">
                  <c:v>0.463782413303106</c:v>
                </c:pt>
                <c:pt idx="49">
                  <c:v>0.487912689925855</c:v>
                </c:pt>
                <c:pt idx="50">
                  <c:v>0.512087310074145</c:v>
                </c:pt>
                <c:pt idx="51">
                  <c:v>0.536217586696895</c:v>
                </c:pt>
                <c:pt idx="52">
                  <c:v>0.560215320182666</c:v>
                </c:pt>
                <c:pt idx="53">
                  <c:v>0.58399376431968</c:v>
                </c:pt>
                <c:pt idx="54">
                  <c:v>0.607468565726221</c:v>
                </c:pt>
                <c:pt idx="55">
                  <c:v>0.630558659818237</c:v>
                </c:pt>
                <c:pt idx="56">
                  <c:v>0.653187107484793</c:v>
                </c:pt>
                <c:pt idx="57">
                  <c:v>0.675281858136623</c:v>
                </c:pt>
                <c:pt idx="58">
                  <c:v>0.69677642662999</c:v>
                </c:pt>
                <c:pt idx="59">
                  <c:v>0.717610473688477</c:v>
                </c:pt>
                <c:pt idx="60">
                  <c:v>0.737730281782344</c:v>
                </c:pt>
                <c:pt idx="61">
                  <c:v>0.757089120905957</c:v>
                </c:pt>
                <c:pt idx="62">
                  <c:v>0.775647501243183</c:v>
                </c:pt>
                <c:pt idx="63">
                  <c:v>0.793373312253181</c:v>
                </c:pt>
                <c:pt idx="64">
                  <c:v>0.810241850171676</c:v>
                </c:pt>
                <c:pt idx="65">
                  <c:v>0.826235738238314</c:v>
                </c:pt>
                <c:pt idx="66">
                  <c:v>0.841344746068544</c:v>
                </c:pt>
                <c:pt idx="67">
                  <c:v>0.855565516438018</c:v>
                </c:pt>
                <c:pt idx="68">
                  <c:v>0.868901209298271</c:v>
                </c:pt>
                <c:pt idx="69">
                  <c:v>0.881361074065862</c:v>
                </c:pt>
                <c:pt idx="70">
                  <c:v>0.892959962106524</c:v>
                </c:pt>
                <c:pt idx="71">
                  <c:v>0.903717791866381</c:v>
                </c:pt>
                <c:pt idx="72">
                  <c:v>0.913658979290627</c:v>
                </c:pt>
                <c:pt idx="73">
                  <c:v>0.92281184603334</c:v>
                </c:pt>
                <c:pt idx="74">
                  <c:v>0.931208017526527</c:v>
                </c:pt>
                <c:pt idx="75">
                  <c:v>0.938881822275995</c:v>
                </c:pt>
                <c:pt idx="76">
                  <c:v>0.945869702825953</c:v>
                </c:pt>
                <c:pt idx="77">
                  <c:v>0.952209647727186</c:v>
                </c:pt>
                <c:pt idx="78">
                  <c:v>0.957940652601044</c:v>
                </c:pt>
                <c:pt idx="79">
                  <c:v>0.963102217059931</c:v>
                </c:pt>
                <c:pt idx="80">
                  <c:v>0.967733882869306</c:v>
                </c:pt>
                <c:pt idx="81">
                  <c:v>0.971874817359017</c:v>
                </c:pt>
                <c:pt idx="82">
                  <c:v>0.975563444751366</c:v>
                </c:pt>
                <c:pt idx="83">
                  <c:v>0.978837126803304</c:v>
                </c:pt>
                <c:pt idx="84">
                  <c:v>0.98173189298846</c:v>
                </c:pt>
                <c:pt idx="85">
                  <c:v>0.984282219393392</c:v>
                </c:pt>
                <c:pt idx="86">
                  <c:v>0.986520854587375</c:v>
                </c:pt>
                <c:pt idx="87">
                  <c:v>0.988478689956119</c:v>
                </c:pt>
                <c:pt idx="88">
                  <c:v>0.990184671371355</c:v>
                </c:pt>
                <c:pt idx="89">
                  <c:v>0.991665748599305</c:v>
                </c:pt>
                <c:pt idx="90">
                  <c:v>0.99294685852631</c:v>
                </c:pt>
                <c:pt idx="91">
                  <c:v>0.994050938090157</c:v>
                </c:pt>
                <c:pt idx="92">
                  <c:v>0.994998962738752</c:v>
                </c:pt>
                <c:pt idx="93">
                  <c:v>0.995810006279493</c:v>
                </c:pt>
                <c:pt idx="94">
                  <c:v>0.996501318117053</c:v>
                </c:pt>
                <c:pt idx="95">
                  <c:v>0.997088414088094</c:v>
                </c:pt>
                <c:pt idx="96">
                  <c:v>0.99758517737203</c:v>
                </c:pt>
                <c:pt idx="97">
                  <c:v>0.998003966271442</c:v>
                </c:pt>
                <c:pt idx="98">
                  <c:v>0.998355725999234</c:v>
                </c:pt>
                <c:pt idx="99">
                  <c:v>0.99865010196837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784722"/>
        <c:axId val="97323168"/>
      </c:lineChart>
      <c:catAx>
        <c:axId val="627847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323168"/>
        <c:crosses val="autoZero"/>
        <c:auto val="1"/>
        <c:lblAlgn val="ctr"/>
        <c:lblOffset val="100"/>
        <c:noMultiLvlLbl val="0"/>
      </c:catAx>
      <c:valAx>
        <c:axId val="973231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278472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Плотность распределения для k=150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'k=150'!$I$2:$I$151</c:f>
              <c:numCache>
                <c:formatCode>General</c:formatCode>
                <c:ptCount val="150"/>
                <c:pt idx="0">
                  <c:v>0.0149392599216998</c:v>
                </c:pt>
                <c:pt idx="1">
                  <c:v>0.0168438774825112</c:v>
                </c:pt>
                <c:pt idx="2">
                  <c:v>0.0189605457913241</c:v>
                </c:pt>
                <c:pt idx="3">
                  <c:v>0.0213086220215677</c:v>
                </c:pt>
                <c:pt idx="4">
                  <c:v>0.0239086837473643</c:v>
                </c:pt>
                <c:pt idx="5">
                  <c:v>0.0267825385942636</c:v>
                </c:pt>
                <c:pt idx="6">
                  <c:v>0.0299532245175242</c:v>
                </c:pt>
                <c:pt idx="7">
                  <c:v>0.0334449995624363</c:v>
                </c:pt>
                <c:pt idx="8">
                  <c:v>0.0372833199488085</c:v>
                </c:pt>
                <c:pt idx="9">
                  <c:v>0.041494805323744</c:v>
                </c:pt>
                <c:pt idx="10">
                  <c:v>0.0461071900449061</c:v>
                </c:pt>
                <c:pt idx="11">
                  <c:v>0.0511492593922142</c:v>
                </c:pt>
                <c:pt idx="12">
                  <c:v>0.0566507696608212</c:v>
                </c:pt>
                <c:pt idx="13">
                  <c:v>0.0626423511636279</c:v>
                </c:pt>
                <c:pt idx="14">
                  <c:v>0.0691553932686334</c:v>
                </c:pt>
                <c:pt idx="15">
                  <c:v>0.0762219107159897</c:v>
                </c:pt>
                <c:pt idx="16">
                  <c:v>0.0838743906023358</c:v>
                </c:pt>
                <c:pt idx="17">
                  <c:v>0.0921456195861057</c:v>
                </c:pt>
                <c:pt idx="18">
                  <c:v>0.101068491056948</c:v>
                </c:pt>
                <c:pt idx="19">
                  <c:v>0.110675792224668</c:v>
                </c:pt>
                <c:pt idx="20">
                  <c:v>0.120999971317265</c:v>
                </c:pt>
                <c:pt idx="21">
                  <c:v>0.132072885332294</c:v>
                </c:pt>
                <c:pt idx="22">
                  <c:v>0.14392552905905</c:v>
                </c:pt>
                <c:pt idx="23">
                  <c:v>0.156587746378562</c:v>
                </c:pt>
                <c:pt idx="24">
                  <c:v>0.170087925151218</c:v>
                </c:pt>
                <c:pt idx="25">
                  <c:v>0.184452677314642</c:v>
                </c:pt>
                <c:pt idx="26">
                  <c:v>0.199706506133366</c:v>
                </c:pt>
                <c:pt idx="27">
                  <c:v>0.215871462862534</c:v>
                </c:pt>
                <c:pt idx="28">
                  <c:v>0.232966795405724</c:v>
                </c:pt>
                <c:pt idx="29">
                  <c:v>0.251008591856795</c:v>
                </c:pt>
                <c:pt idx="30">
                  <c:v>0.270009422112178</c:v>
                </c:pt>
                <c:pt idx="31">
                  <c:v>0.289977981017656</c:v>
                </c:pt>
                <c:pt idx="32">
                  <c:v>0.310918736766609</c:v>
                </c:pt>
                <c:pt idx="33">
                  <c:v>0.33283158848934</c:v>
                </c:pt>
                <c:pt idx="34">
                  <c:v>0.35571153715961</c:v>
                </c:pt>
                <c:pt idx="35">
                  <c:v>0.379548374089466</c:v>
                </c:pt>
                <c:pt idx="36">
                  <c:v>0.404326391381654</c:v>
                </c:pt>
                <c:pt idx="37">
                  <c:v>0.430024118755427</c:v>
                </c:pt>
                <c:pt idx="38">
                  <c:v>0.456614091152256</c:v>
                </c:pt>
                <c:pt idx="39">
                  <c:v>0.484062651459068</c:v>
                </c:pt>
                <c:pt idx="40">
                  <c:v>0.512329792555316</c:v>
                </c:pt>
                <c:pt idx="41">
                  <c:v>0.54136904269437</c:v>
                </c:pt>
                <c:pt idx="42">
                  <c:v>0.57112739796834</c:v>
                </c:pt>
                <c:pt idx="43">
                  <c:v>0.601545305278372</c:v>
                </c:pt>
                <c:pt idx="44">
                  <c:v>0.632556698840757</c:v>
                </c:pt>
                <c:pt idx="45">
                  <c:v>0.664089092805001</c:v>
                </c:pt>
                <c:pt idx="46">
                  <c:v>0.69606373204659</c:v>
                </c:pt>
                <c:pt idx="47">
                  <c:v>0.728395802629117</c:v>
                </c:pt>
                <c:pt idx="48">
                  <c:v>0.760994702813192</c:v>
                </c:pt>
                <c:pt idx="49">
                  <c:v>0.793764374830036</c:v>
                </c:pt>
                <c:pt idx="50">
                  <c:v>0.826603696943454</c:v>
                </c:pt>
                <c:pt idx="51">
                  <c:v>0.859406934603807</c:v>
                </c:pt>
                <c:pt idx="52">
                  <c:v>0.89206424876117</c:v>
                </c:pt>
                <c:pt idx="53">
                  <c:v>0.924462258662287</c:v>
                </c:pt>
                <c:pt idx="54">
                  <c:v>0.956484655718012</c:v>
                </c:pt>
                <c:pt idx="55">
                  <c:v>0.988012864305813</c:v>
                </c:pt>
                <c:pt idx="56">
                  <c:v>1.01892674467689</c:v>
                </c:pt>
                <c:pt idx="57">
                  <c:v>1.04910533248094</c:v>
                </c:pt>
                <c:pt idx="58">
                  <c:v>1.07842760881443</c:v>
                </c:pt>
                <c:pt idx="59">
                  <c:v>1.10677329415161</c:v>
                </c:pt>
                <c:pt idx="60">
                  <c:v>1.13402365904046</c:v>
                </c:pt>
                <c:pt idx="61">
                  <c:v>1.16006234404888</c:v>
                </c:pt>
                <c:pt idx="62">
                  <c:v>1.18477618113628</c:v>
                </c:pt>
                <c:pt idx="63">
                  <c:v>1.20805600841059</c:v>
                </c:pt>
                <c:pt idx="64">
                  <c:v>1.22979747011548</c:v>
                </c:pt>
                <c:pt idx="65">
                  <c:v>1.24990179368132</c:v>
                </c:pt>
                <c:pt idx="66">
                  <c:v>1.26827653576866</c:v>
                </c:pt>
                <c:pt idx="67">
                  <c:v>1.28483628943627</c:v>
                </c:pt>
                <c:pt idx="68">
                  <c:v>1.29950334487428</c:v>
                </c:pt>
                <c:pt idx="69">
                  <c:v>1.3122082965564</c:v>
                </c:pt>
                <c:pt idx="70">
                  <c:v>1.32289059017687</c:v>
                </c:pt>
                <c:pt idx="71">
                  <c:v>1.33149900334312</c:v>
                </c:pt>
                <c:pt idx="72">
                  <c:v>1.33799205468567</c:v>
                </c:pt>
                <c:pt idx="73">
                  <c:v>1.34233833681357</c:v>
                </c:pt>
                <c:pt idx="74">
                  <c:v>1.3445167693758</c:v>
                </c:pt>
                <c:pt idx="75">
                  <c:v>1.3445167693758</c:v>
                </c:pt>
                <c:pt idx="76">
                  <c:v>1.34233833681357</c:v>
                </c:pt>
                <c:pt idx="77">
                  <c:v>1.33799205468567</c:v>
                </c:pt>
                <c:pt idx="78">
                  <c:v>1.33149900334311</c:v>
                </c:pt>
                <c:pt idx="79">
                  <c:v>1.32289059017687</c:v>
                </c:pt>
                <c:pt idx="80">
                  <c:v>1.3122082965564</c:v>
                </c:pt>
                <c:pt idx="81">
                  <c:v>1.29950334487427</c:v>
                </c:pt>
                <c:pt idx="82">
                  <c:v>1.28483628943627</c:v>
                </c:pt>
                <c:pt idx="83">
                  <c:v>1.26827653576866</c:v>
                </c:pt>
                <c:pt idx="84">
                  <c:v>1.24990179368132</c:v>
                </c:pt>
                <c:pt idx="85">
                  <c:v>1.22979747011548</c:v>
                </c:pt>
                <c:pt idx="86">
                  <c:v>1.20805600841058</c:v>
                </c:pt>
                <c:pt idx="87">
                  <c:v>1.18477618113628</c:v>
                </c:pt>
                <c:pt idx="88">
                  <c:v>1.16006234404888</c:v>
                </c:pt>
                <c:pt idx="89">
                  <c:v>1.13402365904046</c:v>
                </c:pt>
                <c:pt idx="90">
                  <c:v>1.1067732941516</c:v>
                </c:pt>
                <c:pt idx="91">
                  <c:v>1.07842760881443</c:v>
                </c:pt>
                <c:pt idx="92">
                  <c:v>1.04910533248094</c:v>
                </c:pt>
                <c:pt idx="93">
                  <c:v>1.01892674467689</c:v>
                </c:pt>
                <c:pt idx="94">
                  <c:v>0.988012864305809</c:v>
                </c:pt>
                <c:pt idx="95">
                  <c:v>0.956484655718007</c:v>
                </c:pt>
                <c:pt idx="96">
                  <c:v>0.924462258662282</c:v>
                </c:pt>
                <c:pt idx="97">
                  <c:v>0.892064248761166</c:v>
                </c:pt>
                <c:pt idx="98">
                  <c:v>0.859406934603803</c:v>
                </c:pt>
                <c:pt idx="99">
                  <c:v>0.82660369694345</c:v>
                </c:pt>
                <c:pt idx="100">
                  <c:v>0.793764374830032</c:v>
                </c:pt>
                <c:pt idx="101">
                  <c:v>0.760994702813188</c:v>
                </c:pt>
                <c:pt idx="102">
                  <c:v>0.728395802629113</c:v>
                </c:pt>
                <c:pt idx="103">
                  <c:v>0.696063732046586</c:v>
                </c:pt>
                <c:pt idx="104">
                  <c:v>0.664089092804996</c:v>
                </c:pt>
                <c:pt idx="105">
                  <c:v>0.632556698840752</c:v>
                </c:pt>
                <c:pt idx="106">
                  <c:v>0.601545305278367</c:v>
                </c:pt>
                <c:pt idx="107">
                  <c:v>0.571127397968336</c:v>
                </c:pt>
                <c:pt idx="108">
                  <c:v>0.541369042694366</c:v>
                </c:pt>
                <c:pt idx="109">
                  <c:v>0.512329792555312</c:v>
                </c:pt>
                <c:pt idx="110">
                  <c:v>0.484062651459064</c:v>
                </c:pt>
                <c:pt idx="111">
                  <c:v>0.456614091152251</c:v>
                </c:pt>
                <c:pt idx="112">
                  <c:v>0.430024118755423</c:v>
                </c:pt>
                <c:pt idx="113">
                  <c:v>0.40432639138165</c:v>
                </c:pt>
                <c:pt idx="114">
                  <c:v>0.379548374089462</c:v>
                </c:pt>
                <c:pt idx="115">
                  <c:v>0.355711537159606</c:v>
                </c:pt>
                <c:pt idx="116">
                  <c:v>0.332831588489337</c:v>
                </c:pt>
                <c:pt idx="117">
                  <c:v>0.310918736766605</c:v>
                </c:pt>
                <c:pt idx="118">
                  <c:v>0.289977981017653</c:v>
                </c:pt>
                <c:pt idx="119">
                  <c:v>0.270009422112175</c:v>
                </c:pt>
                <c:pt idx="120">
                  <c:v>0.251008591856792</c:v>
                </c:pt>
                <c:pt idx="121">
                  <c:v>0.232966795405721</c:v>
                </c:pt>
                <c:pt idx="122">
                  <c:v>0.215871462862531</c:v>
                </c:pt>
                <c:pt idx="123">
                  <c:v>0.199706506133363</c:v>
                </c:pt>
                <c:pt idx="124">
                  <c:v>0.18445267731464</c:v>
                </c:pt>
                <c:pt idx="125">
                  <c:v>0.170087925151215</c:v>
                </c:pt>
                <c:pt idx="126">
                  <c:v>0.15658774637856</c:v>
                </c:pt>
                <c:pt idx="127">
                  <c:v>0.143925529059048</c:v>
                </c:pt>
                <c:pt idx="128">
                  <c:v>0.132072885332292</c:v>
                </c:pt>
                <c:pt idx="129">
                  <c:v>0.120999971317263</c:v>
                </c:pt>
                <c:pt idx="130">
                  <c:v>0.110675792224666</c:v>
                </c:pt>
                <c:pt idx="131">
                  <c:v>0.101068491056946</c:v>
                </c:pt>
                <c:pt idx="132">
                  <c:v>0.092145619586104</c:v>
                </c:pt>
                <c:pt idx="133">
                  <c:v>0.0838743906023343</c:v>
                </c:pt>
                <c:pt idx="134">
                  <c:v>0.0762219107159882</c:v>
                </c:pt>
                <c:pt idx="135">
                  <c:v>0.069155393268632</c:v>
                </c:pt>
                <c:pt idx="136">
                  <c:v>0.0626423511636266</c:v>
                </c:pt>
                <c:pt idx="137">
                  <c:v>0.0566507696608199</c:v>
                </c:pt>
                <c:pt idx="138">
                  <c:v>0.0511492593922131</c:v>
                </c:pt>
                <c:pt idx="139">
                  <c:v>0.0461071900449051</c:v>
                </c:pt>
                <c:pt idx="140">
                  <c:v>0.0414948053237431</c:v>
                </c:pt>
                <c:pt idx="141">
                  <c:v>0.0372833199488076</c:v>
                </c:pt>
                <c:pt idx="142">
                  <c:v>0.0334449995624355</c:v>
                </c:pt>
                <c:pt idx="143">
                  <c:v>0.0299532245175235</c:v>
                </c:pt>
                <c:pt idx="144">
                  <c:v>0.026782538594263</c:v>
                </c:pt>
                <c:pt idx="145">
                  <c:v>0.0239086837473637</c:v>
                </c:pt>
                <c:pt idx="146">
                  <c:v>0.0213086220215672</c:v>
                </c:pt>
                <c:pt idx="147">
                  <c:v>0.0189605457913236</c:v>
                </c:pt>
                <c:pt idx="148">
                  <c:v>0.0168438774825107</c:v>
                </c:pt>
                <c:pt idx="149">
                  <c:v>0.0149392599216995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581359"/>
        <c:axId val="77235040"/>
      </c:lineChart>
      <c:catAx>
        <c:axId val="17581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235040"/>
        <c:crosses val="autoZero"/>
        <c:auto val="1"/>
        <c:lblAlgn val="ctr"/>
        <c:lblOffset val="100"/>
        <c:noMultiLvlLbl val="0"/>
      </c:catAx>
      <c:valAx>
        <c:axId val="772350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5813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Функция распределения для k=150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'k=150'!$J$2:$J$151</c:f>
              <c:numCache>
                <c:formatCode>General</c:formatCode>
                <c:ptCount val="150"/>
                <c:pt idx="0">
                  <c:v>0.00134989803163009</c:v>
                </c:pt>
                <c:pt idx="1">
                  <c:v>0.00153953612004278</c:v>
                </c:pt>
                <c:pt idx="2">
                  <c:v>0.00175317458663877</c:v>
                </c:pt>
                <c:pt idx="3">
                  <c:v>0.0019934609921945</c:v>
                </c:pt>
                <c:pt idx="4">
                  <c:v>0.00226328141287558</c:v>
                </c:pt>
                <c:pt idx="5">
                  <c:v>0.00256577508549631</c:v>
                </c:pt>
                <c:pt idx="6">
                  <c:v>0.00290434911321525</c:v>
                </c:pt>
                <c:pt idx="7">
                  <c:v>0.00328269311288037</c:v>
                </c:pt>
                <c:pt idx="8">
                  <c:v>0.00370479367146653</c:v>
                </c:pt>
                <c:pt idx="9">
                  <c:v>0.00417494846521257</c:v>
                </c:pt>
                <c:pt idx="10">
                  <c:v>0.00469777988134835</c:v>
                </c:pt>
                <c:pt idx="11">
                  <c:v>0.00527824796890521</c:v>
                </c:pt>
                <c:pt idx="12">
                  <c:v>0.00592166253224641</c:v>
                </c:pt>
                <c:pt idx="13">
                  <c:v>0.00663369416887428</c:v>
                </c:pt>
                <c:pt idx="14">
                  <c:v>0.00742038404201981</c:v>
                </c:pt>
                <c:pt idx="15">
                  <c:v>0.00828815216876297</c:v>
                </c:pt>
                <c:pt idx="16">
                  <c:v>0.00924380399624024</c:v>
                </c:pt>
                <c:pt idx="17">
                  <c:v>0.0102945350321489</c:v>
                </c:pt>
                <c:pt idx="18">
                  <c:v>0.0114479332915339</c:v>
                </c:pt>
                <c:pt idx="19">
                  <c:v>0.0127119793200219</c:v>
                </c:pt>
                <c:pt idx="20">
                  <c:v>0.0140950435545095</c:v>
                </c:pt>
                <c:pt idx="21">
                  <c:v>0.015605880786081</c:v>
                </c:pt>
                <c:pt idx="22">
                  <c:v>0.0172536214968506</c:v>
                </c:pt>
                <c:pt idx="23">
                  <c:v>0.0190477598527123</c:v>
                </c:pt>
                <c:pt idx="24">
                  <c:v>0.0209981381478028</c:v>
                </c:pt>
                <c:pt idx="25">
                  <c:v>0.0231149275139959</c:v>
                </c:pt>
                <c:pt idx="26">
                  <c:v>0.0254086047300249</c:v>
                </c:pt>
                <c:pt idx="27">
                  <c:v>0.027889924989946</c:v>
                </c:pt>
                <c:pt idx="28">
                  <c:v>0.0305698905195777</c:v>
                </c:pt>
                <c:pt idx="29">
                  <c:v>0.033459714962239</c:v>
                </c:pt>
                <c:pt idx="30">
                  <c:v>0.0365707834914148</c:v>
                </c:pt>
                <c:pt idx="31">
                  <c:v>0.0399146086477262</c:v>
                </c:pt>
                <c:pt idx="32">
                  <c:v>0.0435027819404974</c:v>
                </c:pt>
                <c:pt idx="33">
                  <c:v>0.0473469212999818</c:v>
                </c:pt>
                <c:pt idx="34">
                  <c:v>0.0514586145145217</c:v>
                </c:pt>
                <c:pt idx="35">
                  <c:v>0.0558493588371178</c:v>
                </c:pt>
                <c:pt idx="36">
                  <c:v>0.0605304969975418</c:v>
                </c:pt>
                <c:pt idx="37">
                  <c:v>0.0655131499086534</c:v>
                </c:pt>
                <c:pt idx="38">
                  <c:v>0.0708081464083349</c:v>
                </c:pt>
                <c:pt idx="39">
                  <c:v>0.0764259504307461</c:v>
                </c:pt>
                <c:pt idx="40">
                  <c:v>0.0823765860516989</c:v>
                </c:pt>
                <c:pt idx="41">
                  <c:v>0.0886695609020945</c:v>
                </c:pt>
                <c:pt idx="42">
                  <c:v>0.0953137884897788</c:v>
                </c:pt>
                <c:pt idx="43">
                  <c:v>0.10231751001307</c:v>
                </c:pt>
                <c:pt idx="44">
                  <c:v>0.109688216287818</c:v>
                </c:pt>
                <c:pt idx="45">
                  <c:v>0.117432570443396</c:v>
                </c:pt>
                <c:pt idx="46">
                  <c:v>0.125556332070808</c:v>
                </c:pt>
                <c:pt idx="47">
                  <c:v>0.13406428352736</c:v>
                </c:pt>
                <c:pt idx="48">
                  <c:v>0.142960159116611</c:v>
                </c:pt>
                <c:pt idx="49">
                  <c:v>0.152246577868837</c:v>
                </c:pt>
                <c:pt idx="50">
                  <c:v>0.161924980645789</c:v>
                </c:pt>
                <c:pt idx="51">
                  <c:v>0.171995572283503</c:v>
                </c:pt>
                <c:pt idx="52">
                  <c:v>0.182457269468295</c:v>
                </c:pt>
                <c:pt idx="53">
                  <c:v>0.193307655013484</c:v>
                </c:pt>
                <c:pt idx="54">
                  <c:v>0.204542939168082</c:v>
                </c:pt>
                <c:pt idx="55">
                  <c:v>0.216157928543515</c:v>
                </c:pt>
                <c:pt idx="56">
                  <c:v>0.228146003190899</c:v>
                </c:pt>
                <c:pt idx="57">
                  <c:v>0.240499102299702</c:v>
                </c:pt>
                <c:pt idx="58">
                  <c:v>0.253207718919396</c:v>
                </c:pt>
                <c:pt idx="59">
                  <c:v>0.266260904029585</c:v>
                </c:pt>
                <c:pt idx="60">
                  <c:v>0.279646280201835</c:v>
                </c:pt>
                <c:pt idx="61">
                  <c:v>0.293350065008937</c:v>
                </c:pt>
                <c:pt idx="62">
                  <c:v>0.307357104245638</c:v>
                </c:pt>
                <c:pt idx="63">
                  <c:v>0.32165091493001</c:v>
                </c:pt>
                <c:pt idx="64">
                  <c:v>0.336213737957794</c:v>
                </c:pt>
                <c:pt idx="65">
                  <c:v>0.351026600184455</c:v>
                </c:pt>
                <c:pt idx="66">
                  <c:v>0.366069385612595</c:v>
                </c:pt>
                <c:pt idx="67">
                  <c:v>0.381320915267069</c:v>
                </c:pt>
                <c:pt idx="68">
                  <c:v>0.396759035247876</c:v>
                </c:pt>
                <c:pt idx="69">
                  <c:v>0.412360712362977</c:v>
                </c:pt>
                <c:pt idx="70">
                  <c:v>0.428102136660778</c:v>
                </c:pt>
                <c:pt idx="71">
                  <c:v>0.443958830106299</c:v>
                </c:pt>
                <c:pt idx="72">
                  <c:v>0.459905760577052</c:v>
                </c:pt>
                <c:pt idx="73">
                  <c:v>0.47591746029541</c:v>
                </c:pt>
                <c:pt idx="74">
                  <c:v>0.49196814776453</c:v>
                </c:pt>
                <c:pt idx="75">
                  <c:v>0.508031852235472</c:v>
                </c:pt>
                <c:pt idx="76">
                  <c:v>0.524082539704592</c:v>
                </c:pt>
                <c:pt idx="77">
                  <c:v>0.54009423942295</c:v>
                </c:pt>
                <c:pt idx="78">
                  <c:v>0.556041169893703</c:v>
                </c:pt>
                <c:pt idx="79">
                  <c:v>0.571897863339224</c:v>
                </c:pt>
                <c:pt idx="80">
                  <c:v>0.587639287637025</c:v>
                </c:pt>
                <c:pt idx="81">
                  <c:v>0.603240964752126</c:v>
                </c:pt>
                <c:pt idx="82">
                  <c:v>0.618679084732933</c:v>
                </c:pt>
                <c:pt idx="83">
                  <c:v>0.633930614387407</c:v>
                </c:pt>
                <c:pt idx="84">
                  <c:v>0.648973399815547</c:v>
                </c:pt>
                <c:pt idx="85">
                  <c:v>0.663786262042208</c:v>
                </c:pt>
                <c:pt idx="86">
                  <c:v>0.678349085069992</c:v>
                </c:pt>
                <c:pt idx="87">
                  <c:v>0.692642895754364</c:v>
                </c:pt>
                <c:pt idx="88">
                  <c:v>0.706649934991065</c:v>
                </c:pt>
                <c:pt idx="89">
                  <c:v>0.720353719798167</c:v>
                </c:pt>
                <c:pt idx="90">
                  <c:v>0.733739095970417</c:v>
                </c:pt>
                <c:pt idx="91">
                  <c:v>0.746792281080606</c:v>
                </c:pt>
                <c:pt idx="92">
                  <c:v>0.759500897700299</c:v>
                </c:pt>
                <c:pt idx="93">
                  <c:v>0.771853996809102</c:v>
                </c:pt>
                <c:pt idx="94">
                  <c:v>0.783842071456487</c:v>
                </c:pt>
                <c:pt idx="95">
                  <c:v>0.79545706083192</c:v>
                </c:pt>
                <c:pt idx="96">
                  <c:v>0.806692344986517</c:v>
                </c:pt>
                <c:pt idx="97">
                  <c:v>0.817542730531707</c:v>
                </c:pt>
                <c:pt idx="98">
                  <c:v>0.828004427716498</c:v>
                </c:pt>
                <c:pt idx="99">
                  <c:v>0.838075019354213</c:v>
                </c:pt>
                <c:pt idx="100">
                  <c:v>0.847753422131164</c:v>
                </c:pt>
                <c:pt idx="101">
                  <c:v>0.85703984088339</c:v>
                </c:pt>
                <c:pt idx="102">
                  <c:v>0.865935716472641</c:v>
                </c:pt>
                <c:pt idx="103">
                  <c:v>0.874443667929194</c:v>
                </c:pt>
                <c:pt idx="104">
                  <c:v>0.882567429556605</c:v>
                </c:pt>
                <c:pt idx="105">
                  <c:v>0.890311783712183</c:v>
                </c:pt>
                <c:pt idx="106">
                  <c:v>0.897682489986931</c:v>
                </c:pt>
                <c:pt idx="107">
                  <c:v>0.904686211510222</c:v>
                </c:pt>
                <c:pt idx="108">
                  <c:v>0.911330439097907</c:v>
                </c:pt>
                <c:pt idx="109">
                  <c:v>0.917623413948302</c:v>
                </c:pt>
                <c:pt idx="110">
                  <c:v>0.923574049569255</c:v>
                </c:pt>
                <c:pt idx="111">
                  <c:v>0.929191853591666</c:v>
                </c:pt>
                <c:pt idx="112">
                  <c:v>0.934486850091348</c:v>
                </c:pt>
                <c:pt idx="113">
                  <c:v>0.939469503002459</c:v>
                </c:pt>
                <c:pt idx="114">
                  <c:v>0.944150641162883</c:v>
                </c:pt>
                <c:pt idx="115">
                  <c:v>0.948541385485479</c:v>
                </c:pt>
                <c:pt idx="116">
                  <c:v>0.952653078700019</c:v>
                </c:pt>
                <c:pt idx="117">
                  <c:v>0.956497218059503</c:v>
                </c:pt>
                <c:pt idx="118">
                  <c:v>0.960085391352274</c:v>
                </c:pt>
                <c:pt idx="119">
                  <c:v>0.963429216508586</c:v>
                </c:pt>
                <c:pt idx="120">
                  <c:v>0.966540285037762</c:v>
                </c:pt>
                <c:pt idx="121">
                  <c:v>0.969430109480423</c:v>
                </c:pt>
                <c:pt idx="122">
                  <c:v>0.972110075010055</c:v>
                </c:pt>
                <c:pt idx="123">
                  <c:v>0.974591395269976</c:v>
                </c:pt>
                <c:pt idx="124">
                  <c:v>0.976885072486005</c:v>
                </c:pt>
                <c:pt idx="125">
                  <c:v>0.979001861852198</c:v>
                </c:pt>
                <c:pt idx="126">
                  <c:v>0.980952240147288</c:v>
                </c:pt>
                <c:pt idx="127">
                  <c:v>0.98274637850315</c:v>
                </c:pt>
                <c:pt idx="128">
                  <c:v>0.984394119213919</c:v>
                </c:pt>
                <c:pt idx="129">
                  <c:v>0.985904956445491</c:v>
                </c:pt>
                <c:pt idx="130">
                  <c:v>0.987288020679978</c:v>
                </c:pt>
                <c:pt idx="131">
                  <c:v>0.988552066708466</c:v>
                </c:pt>
                <c:pt idx="132">
                  <c:v>0.989705464967851</c:v>
                </c:pt>
                <c:pt idx="133">
                  <c:v>0.99075619600376</c:v>
                </c:pt>
                <c:pt idx="134">
                  <c:v>0.991711847831237</c:v>
                </c:pt>
                <c:pt idx="135">
                  <c:v>0.99257961595798</c:v>
                </c:pt>
                <c:pt idx="136">
                  <c:v>0.993366305831126</c:v>
                </c:pt>
                <c:pt idx="137">
                  <c:v>0.994078337467754</c:v>
                </c:pt>
                <c:pt idx="138">
                  <c:v>0.994721752031095</c:v>
                </c:pt>
                <c:pt idx="139">
                  <c:v>0.995302220118652</c:v>
                </c:pt>
                <c:pt idx="140">
                  <c:v>0.995825051534788</c:v>
                </c:pt>
                <c:pt idx="141">
                  <c:v>0.996295206328534</c:v>
                </c:pt>
                <c:pt idx="142">
                  <c:v>0.99671730688712</c:v>
                </c:pt>
                <c:pt idx="143">
                  <c:v>0.997095650886785</c:v>
                </c:pt>
                <c:pt idx="144">
                  <c:v>0.997434224914504</c:v>
                </c:pt>
                <c:pt idx="145">
                  <c:v>0.997736718587125</c:v>
                </c:pt>
                <c:pt idx="146">
                  <c:v>0.998006539007806</c:v>
                </c:pt>
                <c:pt idx="147">
                  <c:v>0.998246825413361</c:v>
                </c:pt>
                <c:pt idx="148">
                  <c:v>0.998460463879957</c:v>
                </c:pt>
                <c:pt idx="149">
                  <c:v>0.99865010196837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841226"/>
        <c:axId val="6574231"/>
      </c:lineChart>
      <c:catAx>
        <c:axId val="878412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74231"/>
        <c:crosses val="autoZero"/>
        <c:auto val="1"/>
        <c:lblAlgn val="ctr"/>
        <c:lblOffset val="100"/>
        <c:noMultiLvlLbl val="0"/>
      </c:catAx>
      <c:valAx>
        <c:axId val="65742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84122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Плотность распределения для k=200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'k=200'!$I$2:$I$201</c:f>
              <c:numCache>
                <c:formatCode>General</c:formatCode>
                <c:ptCount val="200"/>
                <c:pt idx="0">
                  <c:v>0.0152797792879748</c:v>
                </c:pt>
                <c:pt idx="1">
                  <c:v>0.0167187035614563</c:v>
                </c:pt>
                <c:pt idx="2">
                  <c:v>0.0182765117742059</c:v>
                </c:pt>
                <c:pt idx="3">
                  <c:v>0.0199613183292464</c:v>
                </c:pt>
                <c:pt idx="4">
                  <c:v>0.0217816275327224</c:v>
                </c:pt>
                <c:pt idx="5">
                  <c:v>0.0237463372195417</c:v>
                </c:pt>
                <c:pt idx="6">
                  <c:v>0.0258647408433762</c:v>
                </c:pt>
                <c:pt idx="7">
                  <c:v>0.02814652787915</c:v>
                </c:pt>
                <c:pt idx="8">
                  <c:v>0.0306017823835828</c:v>
                </c:pt>
                <c:pt idx="9">
                  <c:v>0.0332409795577352</c:v>
                </c:pt>
                <c:pt idx="10">
                  <c:v>0.0360749801549207</c:v>
                </c:pt>
                <c:pt idx="11">
                  <c:v>0.0391150225779048</c:v>
                </c:pt>
                <c:pt idx="12">
                  <c:v>0.042372712511094</c:v>
                </c:pt>
                <c:pt idx="13">
                  <c:v>0.0458600099365266</c:v>
                </c:pt>
                <c:pt idx="14">
                  <c:v>0.0495892133869917</c:v>
                </c:pt>
                <c:pt idx="15">
                  <c:v>0.0535729412956088</c:v>
                </c:pt>
                <c:pt idx="16">
                  <c:v>0.0578241103087709</c:v>
                </c:pt>
                <c:pt idx="17">
                  <c:v>0.0623559104385496</c:v>
                </c:pt>
                <c:pt idx="18">
                  <c:v>0.0671817769415438</c:v>
                </c:pt>
                <c:pt idx="19">
                  <c:v>0.0723153588237612</c:v>
                </c:pt>
                <c:pt idx="20">
                  <c:v>0.077770483885488</c:v>
                </c:pt>
                <c:pt idx="21">
                  <c:v>0.0835611202362412</c:v>
                </c:pt>
                <c:pt idx="22">
                  <c:v>0.0897013342278173</c:v>
                </c:pt>
                <c:pt idx="23">
                  <c:v>0.0962052447731208</c:v>
                </c:pt>
                <c:pt idx="24">
                  <c:v>0.103086974039866</c:v>
                </c:pt>
                <c:pt idx="25">
                  <c:v>0.110360594531316</c:v>
                </c:pt>
                <c:pt idx="26">
                  <c:v>0.118040072590908</c:v>
                </c:pt>
                <c:pt idx="27">
                  <c:v>0.126139208393799</c:v>
                </c:pt>
                <c:pt idx="28">
                  <c:v>0.134671572515971</c:v>
                </c:pt>
                <c:pt idx="29">
                  <c:v>0.143650439200367</c:v>
                </c:pt>
                <c:pt idx="30">
                  <c:v>0.153088716469505</c:v>
                </c:pt>
                <c:pt idx="31">
                  <c:v>0.162998873264923</c:v>
                </c:pt>
                <c:pt idx="32">
                  <c:v>0.173392863825403</c:v>
                </c:pt>
                <c:pt idx="33">
                  <c:v>0.184282049548126</c:v>
                </c:pt>
                <c:pt idx="34">
                  <c:v>0.195677118609262</c:v>
                </c:pt>
                <c:pt idx="35">
                  <c:v>0.207588003653037</c:v>
                </c:pt>
                <c:pt idx="36">
                  <c:v>0.220023797890444</c:v>
                </c:pt>
                <c:pt idx="37">
                  <c:v>0.232992669980507</c:v>
                </c:pt>
                <c:pt idx="38">
                  <c:v>0.246501778097779</c:v>
                </c:pt>
                <c:pt idx="39">
                  <c:v>0.260557183619514</c:v>
                </c:pt>
                <c:pt idx="40">
                  <c:v>0.275163764894118</c:v>
                </c:pt>
                <c:pt idx="41">
                  <c:v>0.290325131578986</c:v>
                </c:pt>
                <c:pt idx="42">
                  <c:v>0.306043540060106</c:v>
                </c:pt>
                <c:pt idx="43">
                  <c:v>0.32231981048774</c:v>
                </c:pt>
                <c:pt idx="44">
                  <c:v>0.339153245981588</c:v>
                </c:pt>
                <c:pt idx="45">
                  <c:v>0.356541554574905</c:v>
                </c:pt>
                <c:pt idx="46">
                  <c:v>0.374480774479698</c:v>
                </c:pt>
                <c:pt idx="47">
                  <c:v>0.392965203264155</c:v>
                </c:pt>
                <c:pt idx="48">
                  <c:v>0.411987331538493</c:v>
                </c:pt>
                <c:pt idx="49">
                  <c:v>0.431537781746338</c:v>
                </c:pt>
                <c:pt idx="50">
                  <c:v>0.451605252655208</c:v>
                </c:pt>
                <c:pt idx="51">
                  <c:v>0.472176470131573</c:v>
                </c:pt>
                <c:pt idx="52">
                  <c:v>0.493236144773148</c:v>
                </c:pt>
                <c:pt idx="53">
                  <c:v>0.514766936953301</c:v>
                </c:pt>
                <c:pt idx="54">
                  <c:v>0.536749429809857</c:v>
                </c:pt>
                <c:pt idx="55">
                  <c:v>0.55916211068289</c:v>
                </c:pt>
                <c:pt idx="56">
                  <c:v>0.581981361473495</c:v>
                </c:pt>
                <c:pt idx="57">
                  <c:v>0.605181458357962</c:v>
                </c:pt>
                <c:pt idx="58">
                  <c:v>0.628734581249413</c:v>
                </c:pt>
                <c:pt idx="59">
                  <c:v>0.652610833351913</c:v>
                </c:pt>
                <c:pt idx="60">
                  <c:v>0.676778271100517</c:v>
                </c:pt>
                <c:pt idx="61">
                  <c:v>0.701202944725006</c:v>
                </c:pt>
                <c:pt idx="62">
                  <c:v>0.725848949615329</c:v>
                </c:pt>
                <c:pt idx="63">
                  <c:v>0.750678488603562</c:v>
                </c:pt>
                <c:pt idx="64">
                  <c:v>0.775651945210685</c:v>
                </c:pt>
                <c:pt idx="65">
                  <c:v>0.800727967837316</c:v>
                </c:pt>
                <c:pt idx="66">
                  <c:v>0.825863564806041</c:v>
                </c:pt>
                <c:pt idx="67">
                  <c:v>0.8510142100897</c:v>
                </c:pt>
                <c:pt idx="68">
                  <c:v>0.876133959485599</c:v>
                </c:pt>
                <c:pt idx="69">
                  <c:v>0.901175576920457</c:v>
                </c:pt>
                <c:pt idx="70">
                  <c:v>0.926090670495807</c:v>
                </c:pt>
                <c:pt idx="71">
                  <c:v>0.950829837809044</c:v>
                </c:pt>
                <c:pt idx="72">
                  <c:v>0.975342820011978</c:v>
                </c:pt>
                <c:pt idx="73">
                  <c:v>0.999578663997351</c:v>
                </c:pt>
                <c:pt idx="74">
                  <c:v>1.02348589203481</c:v>
                </c:pt>
                <c:pt idx="75">
                  <c:v>1.04701267811213</c:v>
                </c:pt>
                <c:pt idx="76">
                  <c:v>1.07010703017537</c:v>
                </c:pt>
                <c:pt idx="77">
                  <c:v>1.09271697740427</c:v>
                </c:pt>
                <c:pt idx="78">
                  <c:v>1.11479076160626</c:v>
                </c:pt>
                <c:pt idx="79">
                  <c:v>1.13627703176563</c:v>
                </c:pt>
                <c:pt idx="80">
                  <c:v>1.15712504074319</c:v>
                </c:pt>
                <c:pt idx="81">
                  <c:v>1.17728484308727</c:v>
                </c:pt>
                <c:pt idx="82">
                  <c:v>1.19670749288921</c:v>
                </c:pt>
                <c:pt idx="83">
                  <c:v>1.21534524059614</c:v>
                </c:pt>
                <c:pt idx="84">
                  <c:v>1.23315172768122</c:v>
                </c:pt>
                <c:pt idx="85">
                  <c:v>1.25008217806647</c:v>
                </c:pt>
                <c:pt idx="86">
                  <c:v>1.26609358519651</c:v>
                </c:pt>
                <c:pt idx="87">
                  <c:v>1.2811448936726</c:v>
                </c:pt>
                <c:pt idx="88">
                  <c:v>1.29519717437599</c:v>
                </c:pt>
                <c:pt idx="89">
                  <c:v>1.3082137920367</c:v>
                </c:pt>
                <c:pt idx="90">
                  <c:v>1.32016056423957</c:v>
                </c:pt>
                <c:pt idx="91">
                  <c:v>1.33100591090254</c:v>
                </c:pt>
                <c:pt idx="92">
                  <c:v>1.34072099331278</c:v>
                </c:pt>
                <c:pt idx="93">
                  <c:v>1.3492798418643</c:v>
                </c:pt>
                <c:pt idx="94">
                  <c:v>1.35665947170543</c:v>
                </c:pt>
                <c:pt idx="95">
                  <c:v>1.36283998557547</c:v>
                </c:pt>
                <c:pt idx="96">
                  <c:v>1.36780466318654</c:v>
                </c:pt>
                <c:pt idx="97">
                  <c:v>1.37154003658882</c:v>
                </c:pt>
                <c:pt idx="98">
                  <c:v>1.37403595104369</c:v>
                </c:pt>
                <c:pt idx="99">
                  <c:v>1.37528561101968</c:v>
                </c:pt>
                <c:pt idx="100">
                  <c:v>1.37528561101968</c:v>
                </c:pt>
                <c:pt idx="101">
                  <c:v>1.37403595104369</c:v>
                </c:pt>
                <c:pt idx="102">
                  <c:v>1.37154003658882</c:v>
                </c:pt>
                <c:pt idx="103">
                  <c:v>1.36780466318654</c:v>
                </c:pt>
                <c:pt idx="104">
                  <c:v>1.36283998557547</c:v>
                </c:pt>
                <c:pt idx="105">
                  <c:v>1.35665947170543</c:v>
                </c:pt>
                <c:pt idx="106">
                  <c:v>1.3492798418643</c:v>
                </c:pt>
                <c:pt idx="107">
                  <c:v>1.34072099331278</c:v>
                </c:pt>
                <c:pt idx="108">
                  <c:v>1.33100591090254</c:v>
                </c:pt>
                <c:pt idx="109">
                  <c:v>1.32016056423957</c:v>
                </c:pt>
                <c:pt idx="110">
                  <c:v>1.3082137920367</c:v>
                </c:pt>
                <c:pt idx="111">
                  <c:v>1.29519717437599</c:v>
                </c:pt>
                <c:pt idx="112">
                  <c:v>1.2811448936726</c:v>
                </c:pt>
                <c:pt idx="113">
                  <c:v>1.26609358519651</c:v>
                </c:pt>
                <c:pt idx="114">
                  <c:v>1.25008217806647</c:v>
                </c:pt>
                <c:pt idx="115">
                  <c:v>1.23315172768122</c:v>
                </c:pt>
                <c:pt idx="116">
                  <c:v>1.21534524059614</c:v>
                </c:pt>
                <c:pt idx="117">
                  <c:v>1.19670749288921</c:v>
                </c:pt>
                <c:pt idx="118">
                  <c:v>1.17728484308727</c:v>
                </c:pt>
                <c:pt idx="119">
                  <c:v>1.15712504074319</c:v>
                </c:pt>
                <c:pt idx="120">
                  <c:v>1.13627703176563</c:v>
                </c:pt>
                <c:pt idx="121">
                  <c:v>1.11479076160626</c:v>
                </c:pt>
                <c:pt idx="122">
                  <c:v>1.09271697740427</c:v>
                </c:pt>
                <c:pt idx="123">
                  <c:v>1.07010703017537</c:v>
                </c:pt>
                <c:pt idx="124">
                  <c:v>1.04701267811212</c:v>
                </c:pt>
                <c:pt idx="125">
                  <c:v>1.02348589203481</c:v>
                </c:pt>
                <c:pt idx="126">
                  <c:v>0.999578663997348</c:v>
                </c:pt>
                <c:pt idx="127">
                  <c:v>0.975342820011976</c:v>
                </c:pt>
                <c:pt idx="128">
                  <c:v>0.950829837809041</c:v>
                </c:pt>
                <c:pt idx="129">
                  <c:v>0.926090670495804</c:v>
                </c:pt>
                <c:pt idx="130">
                  <c:v>0.901175576920454</c:v>
                </c:pt>
                <c:pt idx="131">
                  <c:v>0.876133959485596</c:v>
                </c:pt>
                <c:pt idx="132">
                  <c:v>0.851014210089696</c:v>
                </c:pt>
                <c:pt idx="133">
                  <c:v>0.825863564806037</c:v>
                </c:pt>
                <c:pt idx="134">
                  <c:v>0.800727967837313</c:v>
                </c:pt>
                <c:pt idx="135">
                  <c:v>0.775651945210681</c:v>
                </c:pt>
                <c:pt idx="136">
                  <c:v>0.750678488603559</c:v>
                </c:pt>
                <c:pt idx="137">
                  <c:v>0.725848949615326</c:v>
                </c:pt>
                <c:pt idx="138">
                  <c:v>0.701202944725002</c:v>
                </c:pt>
                <c:pt idx="139">
                  <c:v>0.676778271100513</c:v>
                </c:pt>
                <c:pt idx="140">
                  <c:v>0.652610833351909</c:v>
                </c:pt>
                <c:pt idx="141">
                  <c:v>0.628734581249409</c:v>
                </c:pt>
                <c:pt idx="142">
                  <c:v>0.605181458357958</c:v>
                </c:pt>
                <c:pt idx="143">
                  <c:v>0.581981361473491</c:v>
                </c:pt>
                <c:pt idx="144">
                  <c:v>0.559162110682886</c:v>
                </c:pt>
                <c:pt idx="145">
                  <c:v>0.536749429809852</c:v>
                </c:pt>
                <c:pt idx="146">
                  <c:v>0.514766936953297</c:v>
                </c:pt>
                <c:pt idx="147">
                  <c:v>0.493236144773144</c:v>
                </c:pt>
                <c:pt idx="148">
                  <c:v>0.472176470131569</c:v>
                </c:pt>
                <c:pt idx="149">
                  <c:v>0.451605252655204</c:v>
                </c:pt>
                <c:pt idx="150">
                  <c:v>0.431537781746334</c:v>
                </c:pt>
                <c:pt idx="151">
                  <c:v>0.411987331538489</c:v>
                </c:pt>
                <c:pt idx="152">
                  <c:v>0.392965203264151</c:v>
                </c:pt>
                <c:pt idx="153">
                  <c:v>0.374480774479694</c:v>
                </c:pt>
                <c:pt idx="154">
                  <c:v>0.356541554574901</c:v>
                </c:pt>
                <c:pt idx="155">
                  <c:v>0.339153245981585</c:v>
                </c:pt>
                <c:pt idx="156">
                  <c:v>0.322319810487736</c:v>
                </c:pt>
                <c:pt idx="157">
                  <c:v>0.306043540060102</c:v>
                </c:pt>
                <c:pt idx="158">
                  <c:v>0.290325131578982</c:v>
                </c:pt>
                <c:pt idx="159">
                  <c:v>0.275163764894115</c:v>
                </c:pt>
                <c:pt idx="160">
                  <c:v>0.26055718361951</c:v>
                </c:pt>
                <c:pt idx="161">
                  <c:v>0.246501778097776</c:v>
                </c:pt>
                <c:pt idx="162">
                  <c:v>0.232992669980503</c:v>
                </c:pt>
                <c:pt idx="163">
                  <c:v>0.220023797890441</c:v>
                </c:pt>
                <c:pt idx="164">
                  <c:v>0.207588003653033</c:v>
                </c:pt>
                <c:pt idx="165">
                  <c:v>0.195677118609259</c:v>
                </c:pt>
                <c:pt idx="166">
                  <c:v>0.184282049548123</c:v>
                </c:pt>
                <c:pt idx="167">
                  <c:v>0.173392863825401</c:v>
                </c:pt>
                <c:pt idx="168">
                  <c:v>0.16299887326492</c:v>
                </c:pt>
                <c:pt idx="169">
                  <c:v>0.153088716469503</c:v>
                </c:pt>
                <c:pt idx="170">
                  <c:v>0.143650439200364</c:v>
                </c:pt>
                <c:pt idx="171">
                  <c:v>0.134671572515969</c:v>
                </c:pt>
                <c:pt idx="172">
                  <c:v>0.126139208393796</c:v>
                </c:pt>
                <c:pt idx="173">
                  <c:v>0.118040072590905</c:v>
                </c:pt>
                <c:pt idx="174">
                  <c:v>0.110360594531314</c:v>
                </c:pt>
                <c:pt idx="175">
                  <c:v>0.103086974039864</c:v>
                </c:pt>
                <c:pt idx="176">
                  <c:v>0.0962052447731186</c:v>
                </c:pt>
                <c:pt idx="177">
                  <c:v>0.0897013342278151</c:v>
                </c:pt>
                <c:pt idx="178">
                  <c:v>0.0835611202362393</c:v>
                </c:pt>
                <c:pt idx="179">
                  <c:v>0.0777704838854861</c:v>
                </c:pt>
                <c:pt idx="180">
                  <c:v>0.0723153588237595</c:v>
                </c:pt>
                <c:pt idx="181">
                  <c:v>0.0671817769415421</c:v>
                </c:pt>
                <c:pt idx="182">
                  <c:v>0.062355910438548</c:v>
                </c:pt>
                <c:pt idx="183">
                  <c:v>0.0578241103087693</c:v>
                </c:pt>
                <c:pt idx="184">
                  <c:v>0.0535729412956073</c:v>
                </c:pt>
                <c:pt idx="185">
                  <c:v>0.0495892133869903</c:v>
                </c:pt>
                <c:pt idx="186">
                  <c:v>0.0458600099365254</c:v>
                </c:pt>
                <c:pt idx="187">
                  <c:v>0.0423727125110928</c:v>
                </c:pt>
                <c:pt idx="188">
                  <c:v>0.0391150225779037</c:v>
                </c:pt>
                <c:pt idx="189">
                  <c:v>0.0360749801549196</c:v>
                </c:pt>
                <c:pt idx="190">
                  <c:v>0.0332409795577342</c:v>
                </c:pt>
                <c:pt idx="191">
                  <c:v>0.0306017823835819</c:v>
                </c:pt>
                <c:pt idx="192">
                  <c:v>0.0281465278791491</c:v>
                </c:pt>
                <c:pt idx="193">
                  <c:v>0.0258647408433753</c:v>
                </c:pt>
                <c:pt idx="194">
                  <c:v>0.0237463372195409</c:v>
                </c:pt>
                <c:pt idx="195">
                  <c:v>0.0217816275327217</c:v>
                </c:pt>
                <c:pt idx="196">
                  <c:v>0.0199613183292457</c:v>
                </c:pt>
                <c:pt idx="197">
                  <c:v>0.0182765117742052</c:v>
                </c:pt>
                <c:pt idx="198">
                  <c:v>0.0167187035614557</c:v>
                </c:pt>
                <c:pt idx="199">
                  <c:v>0.0152797792879742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299928"/>
        <c:axId val="20157267"/>
      </c:lineChart>
      <c:catAx>
        <c:axId val="35299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157267"/>
        <c:crosses val="autoZero"/>
        <c:auto val="1"/>
        <c:lblAlgn val="ctr"/>
        <c:lblOffset val="100"/>
        <c:noMultiLvlLbl val="0"/>
      </c:catAx>
      <c:valAx>
        <c:axId val="201572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29992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Функция распределения для k=200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'k=200'!$J$2:$J$201</c:f>
              <c:numCache>
                <c:formatCode>General</c:formatCode>
                <c:ptCount val="200"/>
                <c:pt idx="0">
                  <c:v>0.00134989803163009</c:v>
                </c:pt>
                <c:pt idx="1">
                  <c:v>0.00148972961732063</c:v>
                </c:pt>
                <c:pt idx="2">
                  <c:v>0.00164265882970581</c:v>
                </c:pt>
                <c:pt idx="3">
                  <c:v>0.00180976052185689</c:v>
                </c:pt>
                <c:pt idx="4">
                  <c:v>0.00199218221001719</c:v>
                </c:pt>
                <c:pt idx="5">
                  <c:v>0.00219114750027113</c:v>
                </c:pt>
                <c:pt idx="6">
                  <c:v>0.00240795954031496</c:v>
                </c:pt>
                <c:pt idx="7">
                  <c:v>0.00264400448223777</c:v>
                </c:pt>
                <c:pt idx="8">
                  <c:v>0.0029007549408815</c:v>
                </c:pt>
                <c:pt idx="9">
                  <c:v>0.00317977343099047</c:v>
                </c:pt>
                <c:pt idx="10">
                  <c:v>0.00348271576499273</c:v>
                </c:pt>
                <c:pt idx="11">
                  <c:v>0.00381133439188759</c:v>
                </c:pt>
                <c:pt idx="12">
                  <c:v>0.00416748165635501</c:v>
                </c:pt>
                <c:pt idx="13">
                  <c:v>0.00455311295586667</c:v>
                </c:pt>
                <c:pt idx="14">
                  <c:v>0.00497028977227419</c:v>
                </c:pt>
                <c:pt idx="15">
                  <c:v>0.00542118255309303</c:v>
                </c:pt>
                <c:pt idx="16">
                  <c:v>0.00590807341650216</c:v>
                </c:pt>
                <c:pt idx="17">
                  <c:v>0.00643335865295457</c:v>
                </c:pt>
                <c:pt idx="18">
                  <c:v>0.00699955099525667</c:v>
                </c:pt>
                <c:pt idx="19">
                  <c:v>0.00760928162804002</c:v>
                </c:pt>
                <c:pt idx="20">
                  <c:v>0.00826530190673234</c:v>
                </c:pt>
                <c:pt idx="21">
                  <c:v>0.00897048475545125</c:v>
                </c:pt>
                <c:pt idx="22">
                  <c:v>0.00972782571271057</c:v>
                </c:pt>
                <c:pt idx="23">
                  <c:v>0.0105404435934583</c:v>
                </c:pt>
                <c:pt idx="24">
                  <c:v>0.0114115807357757</c:v>
                </c:pt>
                <c:pt idx="25">
                  <c:v>0.0123446028005715</c:v>
                </c:pt>
                <c:pt idx="26">
                  <c:v>0.013342998092817</c:v>
                </c:pt>
                <c:pt idx="27">
                  <c:v>0.0144103763733056</c:v>
                </c:pt>
                <c:pt idx="28">
                  <c:v>0.0155504671305895</c:v>
                </c:pt>
                <c:pt idx="29">
                  <c:v>0.0167671172836651</c:v>
                </c:pt>
                <c:pt idx="30">
                  <c:v>0.0180642882871531</c:v>
                </c:pt>
                <c:pt idx="31">
                  <c:v>0.0194460526121626</c:v>
                </c:pt>
                <c:pt idx="32">
                  <c:v>0.020916589577739</c:v>
                </c:pt>
                <c:pt idx="33">
                  <c:v>0.0224801805097962</c:v>
                </c:pt>
                <c:pt idx="34">
                  <c:v>0.024141203206703</c:v>
                </c:pt>
                <c:pt idx="35">
                  <c:v>0.02590412569326</c:v>
                </c:pt>
                <c:pt idx="36">
                  <c:v>0.0277734992476424</c:v>
                </c:pt>
                <c:pt idx="37">
                  <c:v>0.029753950689009</c:v>
                </c:pt>
                <c:pt idx="38">
                  <c:v>0.0318501739168741</c:v>
                </c:pt>
                <c:pt idx="39">
                  <c:v>0.0340669206969997</c:v>
                </c:pt>
                <c:pt idx="40">
                  <c:v>0.03640899069248</c:v>
                </c:pt>
                <c:pt idx="41">
                  <c:v>0.0388812207428453</c:v>
                </c:pt>
                <c:pt idx="42">
                  <c:v>0.0414884733983885</c:v>
                </c:pt>
                <c:pt idx="43">
                  <c:v>0.0442356247214937</c:v>
                </c:pt>
                <c:pt idx="44">
                  <c:v>0.0471275513715099</c:v>
                </c:pt>
                <c:pt idx="45">
                  <c:v>0.0501691169946192</c:v>
                </c:pt>
                <c:pt idx="46">
                  <c:v>0.0533651579451894</c:v>
                </c:pt>
                <c:pt idx="47">
                  <c:v>0.0567204683702362</c:v>
                </c:pt>
                <c:pt idx="48">
                  <c:v>0.0602397846938103</c:v>
                </c:pt>
                <c:pt idx="49">
                  <c:v>0.0639277695433487</c:v>
                </c:pt>
                <c:pt idx="50">
                  <c:v>0.0677889951652392</c:v>
                </c:pt>
                <c:pt idx="51">
                  <c:v>0.0718279263820031</c:v>
                </c:pt>
                <c:pt idx="52">
                  <c:v>0.0760489031485733</c:v>
                </c:pt>
                <c:pt idx="53">
                  <c:v>0.0804561227700735</c:v>
                </c:pt>
                <c:pt idx="54">
                  <c:v>0.0850536218482657</c:v>
                </c:pt>
                <c:pt idx="55">
                  <c:v>0.089845258028369</c:v>
                </c:pt>
                <c:pt idx="56">
                  <c:v>0.0948346916222255</c:v>
                </c:pt>
                <c:pt idx="57">
                  <c:v>0.100025367187758</c:v>
                </c:pt>
                <c:pt idx="58">
                  <c:v>0.105420495148282</c:v>
                </c:pt>
                <c:pt idx="59">
                  <c:v>0.111023033538452</c:v>
                </c:pt>
                <c:pt idx="60">
                  <c:v>0.116835669966439</c:v>
                </c:pt>
                <c:pt idx="61">
                  <c:v>0.122860803884231</c:v>
                </c:pt>
                <c:pt idx="62">
                  <c:v>0.129100529259793</c:v>
                </c:pt>
                <c:pt idx="63">
                  <c:v>0.135556617746102</c:v>
                </c:pt>
                <c:pt idx="64">
                  <c:v>0.142230502442773</c:v>
                </c:pt>
                <c:pt idx="65">
                  <c:v>0.149123262346141</c:v>
                </c:pt>
                <c:pt idx="66">
                  <c:v>0.156235607583131</c:v>
                </c:pt>
                <c:pt idx="67">
                  <c:v>0.163567865523169</c:v>
                </c:pt>
                <c:pt idx="68">
                  <c:v>0.171119967860574</c:v>
                </c:pt>
                <c:pt idx="69">
                  <c:v>0.178891438757462</c:v>
                </c:pt>
                <c:pt idx="70">
                  <c:v>0.186881384134105</c:v>
                </c:pt>
                <c:pt idx="71">
                  <c:v>0.195088482189945</c:v>
                </c:pt>
                <c:pt idx="72">
                  <c:v>0.203510975234089</c:v>
                </c:pt>
                <c:pt idx="73">
                  <c:v>0.212146662899073</c:v>
                </c:pt>
                <c:pt idx="74">
                  <c:v>0.22099289680605</c:v>
                </c:pt>
                <c:pt idx="75">
                  <c:v>0.230046576743369</c:v>
                </c:pt>
                <c:pt idx="76">
                  <c:v>0.239304148413659</c:v>
                </c:pt>
                <c:pt idx="77">
                  <c:v>0.248761602797317</c:v>
                </c:pt>
                <c:pt idx="78">
                  <c:v>0.258414477172417</c:v>
                </c:pt>
                <c:pt idx="79">
                  <c:v>0.268257857822907</c:v>
                </c:pt>
                <c:pt idx="80">
                  <c:v>0.278286384458311</c:v>
                </c:pt>
                <c:pt idx="81">
                  <c:v>0.288494256359224</c:v>
                </c:pt>
                <c:pt idx="82">
                  <c:v>0.298875240253659</c:v>
                </c:pt>
                <c:pt idx="83">
                  <c:v>0.309422679919917</c:v>
                </c:pt>
                <c:pt idx="84">
                  <c:v>0.320129507502034</c:v>
                </c:pt>
                <c:pt idx="85">
                  <c:v>0.330988256514258</c:v>
                </c:pt>
                <c:pt idx="86">
                  <c:v>0.341991076501317</c:v>
                </c:pt>
                <c:pt idx="87">
                  <c:v>0.353129749311683</c:v>
                </c:pt>
                <c:pt idx="88">
                  <c:v>0.364395706931543</c:v>
                </c:pt>
                <c:pt idx="89">
                  <c:v>0.375780050817964</c:v>
                </c:pt>
                <c:pt idx="90">
                  <c:v>0.387273572660753</c:v>
                </c:pt>
                <c:pt idx="91">
                  <c:v>0.398866776493858</c:v>
                </c:pt>
                <c:pt idx="92">
                  <c:v>0.410549902068974</c:v>
                </c:pt>
                <c:pt idx="93">
                  <c:v>0.422312949396228</c:v>
                </c:pt>
                <c:pt idx="94">
                  <c:v>0.434145704349631</c:v>
                </c:pt>
                <c:pt idx="95">
                  <c:v>0.446037765228374</c:v>
                </c:pt>
                <c:pt idx="96">
                  <c:v>0.457978570159036</c:v>
                </c:pt>
                <c:pt idx="97">
                  <c:v>0.469957425218552</c:v>
                </c:pt>
                <c:pt idx="98">
                  <c:v>0.481963533153195</c:v>
                </c:pt>
                <c:pt idx="99">
                  <c:v>0.493986022565103</c:v>
                </c:pt>
                <c:pt idx="100">
                  <c:v>0.506013977434896</c:v>
                </c:pt>
                <c:pt idx="101">
                  <c:v>0.518036466846805</c:v>
                </c:pt>
                <c:pt idx="102">
                  <c:v>0.530042574781448</c:v>
                </c:pt>
                <c:pt idx="103">
                  <c:v>0.542021429840964</c:v>
                </c:pt>
                <c:pt idx="104">
                  <c:v>0.553962234771626</c:v>
                </c:pt>
                <c:pt idx="105">
                  <c:v>0.565854295650369</c:v>
                </c:pt>
                <c:pt idx="106">
                  <c:v>0.577687050603772</c:v>
                </c:pt>
                <c:pt idx="107">
                  <c:v>0.589450097931025</c:v>
                </c:pt>
                <c:pt idx="108">
                  <c:v>0.601133223506142</c:v>
                </c:pt>
                <c:pt idx="109">
                  <c:v>0.612726427339247</c:v>
                </c:pt>
                <c:pt idx="110">
                  <c:v>0.624219949182036</c:v>
                </c:pt>
                <c:pt idx="111">
                  <c:v>0.635604293068457</c:v>
                </c:pt>
                <c:pt idx="112">
                  <c:v>0.646870250688317</c:v>
                </c:pt>
                <c:pt idx="113">
                  <c:v>0.658008923498683</c:v>
                </c:pt>
                <c:pt idx="114">
                  <c:v>0.669011743485742</c:v>
                </c:pt>
                <c:pt idx="115">
                  <c:v>0.679870492497966</c:v>
                </c:pt>
                <c:pt idx="116">
                  <c:v>0.690577320080083</c:v>
                </c:pt>
                <c:pt idx="117">
                  <c:v>0.701124759746341</c:v>
                </c:pt>
                <c:pt idx="118">
                  <c:v>0.711505743640777</c:v>
                </c:pt>
                <c:pt idx="119">
                  <c:v>0.721713615541689</c:v>
                </c:pt>
                <c:pt idx="120">
                  <c:v>0.731742142177094</c:v>
                </c:pt>
                <c:pt idx="121">
                  <c:v>0.741585522827584</c:v>
                </c:pt>
                <c:pt idx="122">
                  <c:v>0.751238397202683</c:v>
                </c:pt>
                <c:pt idx="123">
                  <c:v>0.760695851586342</c:v>
                </c:pt>
                <c:pt idx="124">
                  <c:v>0.769953423256632</c:v>
                </c:pt>
                <c:pt idx="125">
                  <c:v>0.779007103193951</c:v>
                </c:pt>
                <c:pt idx="126">
                  <c:v>0.787853337100928</c:v>
                </c:pt>
                <c:pt idx="127">
                  <c:v>0.796489024765912</c:v>
                </c:pt>
                <c:pt idx="128">
                  <c:v>0.804911517810057</c:v>
                </c:pt>
                <c:pt idx="129">
                  <c:v>0.813118615865896</c:v>
                </c:pt>
                <c:pt idx="130">
                  <c:v>0.821108561242539</c:v>
                </c:pt>
                <c:pt idx="131">
                  <c:v>0.828880032139427</c:v>
                </c:pt>
                <c:pt idx="132">
                  <c:v>0.836432134476832</c:v>
                </c:pt>
                <c:pt idx="133">
                  <c:v>0.843764392416871</c:v>
                </c:pt>
                <c:pt idx="134">
                  <c:v>0.85087673765386</c:v>
                </c:pt>
                <c:pt idx="135">
                  <c:v>0.857769497557228</c:v>
                </c:pt>
                <c:pt idx="136">
                  <c:v>0.8644433822539</c:v>
                </c:pt>
                <c:pt idx="137">
                  <c:v>0.870899470740208</c:v>
                </c:pt>
                <c:pt idx="138">
                  <c:v>0.87713919611577</c:v>
                </c:pt>
                <c:pt idx="139">
                  <c:v>0.883164330033562</c:v>
                </c:pt>
                <c:pt idx="140">
                  <c:v>0.888976966461549</c:v>
                </c:pt>
                <c:pt idx="141">
                  <c:v>0.894579504851719</c:v>
                </c:pt>
                <c:pt idx="142">
                  <c:v>0.899974632812243</c:v>
                </c:pt>
                <c:pt idx="143">
                  <c:v>0.905165308377776</c:v>
                </c:pt>
                <c:pt idx="144">
                  <c:v>0.910154741971632</c:v>
                </c:pt>
                <c:pt idx="145">
                  <c:v>0.914946378151735</c:v>
                </c:pt>
                <c:pt idx="146">
                  <c:v>0.919543877229927</c:v>
                </c:pt>
                <c:pt idx="147">
                  <c:v>0.923951096851428</c:v>
                </c:pt>
                <c:pt idx="148">
                  <c:v>0.928172073617998</c:v>
                </c:pt>
                <c:pt idx="149">
                  <c:v>0.932211004834762</c:v>
                </c:pt>
                <c:pt idx="150">
                  <c:v>0.936072230456652</c:v>
                </c:pt>
                <c:pt idx="151">
                  <c:v>0.939760215306191</c:v>
                </c:pt>
                <c:pt idx="152">
                  <c:v>0.943279531629765</c:v>
                </c:pt>
                <c:pt idx="153">
                  <c:v>0.946634842054811</c:v>
                </c:pt>
                <c:pt idx="154">
                  <c:v>0.949830883005382</c:v>
                </c:pt>
                <c:pt idx="155">
                  <c:v>0.952872448628491</c:v>
                </c:pt>
                <c:pt idx="156">
                  <c:v>0.955764375278507</c:v>
                </c:pt>
                <c:pt idx="157">
                  <c:v>0.958511526601612</c:v>
                </c:pt>
                <c:pt idx="158">
                  <c:v>0.961118779257155</c:v>
                </c:pt>
                <c:pt idx="159">
                  <c:v>0.963591009307521</c:v>
                </c:pt>
                <c:pt idx="160">
                  <c:v>0.965933079303001</c:v>
                </c:pt>
                <c:pt idx="161">
                  <c:v>0.968149826083127</c:v>
                </c:pt>
                <c:pt idx="162">
                  <c:v>0.970246049310992</c:v>
                </c:pt>
                <c:pt idx="163">
                  <c:v>0.972226500752358</c:v>
                </c:pt>
                <c:pt idx="164">
                  <c:v>0.974095874306741</c:v>
                </c:pt>
                <c:pt idx="165">
                  <c:v>0.975858796793298</c:v>
                </c:pt>
                <c:pt idx="166">
                  <c:v>0.977519819490204</c:v>
                </c:pt>
                <c:pt idx="167">
                  <c:v>0.979083410422261</c:v>
                </c:pt>
                <c:pt idx="168">
                  <c:v>0.980553947387838</c:v>
                </c:pt>
                <c:pt idx="169">
                  <c:v>0.981935711712847</c:v>
                </c:pt>
                <c:pt idx="170">
                  <c:v>0.983232882716335</c:v>
                </c:pt>
                <c:pt idx="171">
                  <c:v>0.984449532869411</c:v>
                </c:pt>
                <c:pt idx="172">
                  <c:v>0.985589623626695</c:v>
                </c:pt>
                <c:pt idx="173">
                  <c:v>0.986657001907183</c:v>
                </c:pt>
                <c:pt idx="174">
                  <c:v>0.987655397199429</c:v>
                </c:pt>
                <c:pt idx="175">
                  <c:v>0.988588419264225</c:v>
                </c:pt>
                <c:pt idx="176">
                  <c:v>0.989459556406542</c:v>
                </c:pt>
                <c:pt idx="177">
                  <c:v>0.99027217428729</c:v>
                </c:pt>
                <c:pt idx="178">
                  <c:v>0.991029515244549</c:v>
                </c:pt>
                <c:pt idx="179">
                  <c:v>0.991734698093268</c:v>
                </c:pt>
                <c:pt idx="180">
                  <c:v>0.99239071837196</c:v>
                </c:pt>
                <c:pt idx="181">
                  <c:v>0.993000449004744</c:v>
                </c:pt>
                <c:pt idx="182">
                  <c:v>0.993566641347046</c:v>
                </c:pt>
                <c:pt idx="183">
                  <c:v>0.994091926583498</c:v>
                </c:pt>
                <c:pt idx="184">
                  <c:v>0.994578817446907</c:v>
                </c:pt>
                <c:pt idx="185">
                  <c:v>0.995029710227726</c:v>
                </c:pt>
                <c:pt idx="186">
                  <c:v>0.995446887044133</c:v>
                </c:pt>
                <c:pt idx="187">
                  <c:v>0.995832518343645</c:v>
                </c:pt>
                <c:pt idx="188">
                  <c:v>0.996188665608113</c:v>
                </c:pt>
                <c:pt idx="189">
                  <c:v>0.996517284235007</c:v>
                </c:pt>
                <c:pt idx="190">
                  <c:v>0.99682022656901</c:v>
                </c:pt>
                <c:pt idx="191">
                  <c:v>0.997099245059119</c:v>
                </c:pt>
                <c:pt idx="192">
                  <c:v>0.997355995517762</c:v>
                </c:pt>
                <c:pt idx="193">
                  <c:v>0.997592040459685</c:v>
                </c:pt>
                <c:pt idx="194">
                  <c:v>0.997808852499729</c:v>
                </c:pt>
                <c:pt idx="195">
                  <c:v>0.998007817789983</c:v>
                </c:pt>
                <c:pt idx="196">
                  <c:v>0.998190239478143</c:v>
                </c:pt>
                <c:pt idx="197">
                  <c:v>0.998357341170294</c:v>
                </c:pt>
                <c:pt idx="198">
                  <c:v>0.99851027038268</c:v>
                </c:pt>
                <c:pt idx="199">
                  <c:v>0.99865010196837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140767"/>
        <c:axId val="19718073"/>
      </c:lineChart>
      <c:catAx>
        <c:axId val="75140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718073"/>
        <c:crosses val="autoZero"/>
        <c:auto val="1"/>
        <c:lblAlgn val="ctr"/>
        <c:lblOffset val="100"/>
        <c:noMultiLvlLbl val="0"/>
      </c:catAx>
      <c:valAx>
        <c:axId val="197180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14076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Плотность распределения для k=275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'k=275'!$I$2:$I$276</c:f>
              <c:numCache>
                <c:formatCode>General</c:formatCode>
                <c:ptCount val="275"/>
                <c:pt idx="0">
                  <c:v>0.0154371271752658</c:v>
                </c:pt>
                <c:pt idx="1">
                  <c:v>0.0164813450311248</c:v>
                </c:pt>
                <c:pt idx="2">
                  <c:v>0.0175877616018515</c:v>
                </c:pt>
                <c:pt idx="3">
                  <c:v>0.0187594559394394</c:v>
                </c:pt>
                <c:pt idx="4">
                  <c:v>0.0199996160005094</c:v>
                </c:pt>
                <c:pt idx="5">
                  <c:v>0.0213115395864576</c:v>
                </c:pt>
                <c:pt idx="6">
                  <c:v>0.0226986350740971</c:v>
                </c:pt>
                <c:pt idx="7">
                  <c:v>0.0241644219207779</c:v>
                </c:pt>
                <c:pt idx="8">
                  <c:v>0.0257125309276957</c:v>
                </c:pt>
                <c:pt idx="9">
                  <c:v>0.0273467042448733</c:v>
                </c:pt>
                <c:pt idx="10">
                  <c:v>0.0290707951011215</c:v>
                </c:pt>
                <c:pt idx="11">
                  <c:v>0.0308887672421657</c:v>
                </c:pt>
                <c:pt idx="12">
                  <c:v>0.0328046940600625</c:v>
                </c:pt>
                <c:pt idx="13">
                  <c:v>0.0348227573970295</c:v>
                </c:pt>
                <c:pt idx="14">
                  <c:v>0.0369472460068773</c:v>
                </c:pt>
                <c:pt idx="15">
                  <c:v>0.0391825536573732</c:v>
                </c:pt>
                <c:pt idx="16">
                  <c:v>0.0415331768570747</c:v>
                </c:pt>
                <c:pt idx="17">
                  <c:v>0.0440037121904625</c:v>
                </c:pt>
                <c:pt idx="18">
                  <c:v>0.0465988532455733</c:v>
                </c:pt>
                <c:pt idx="19">
                  <c:v>0.049323387118789</c:v>
                </c:pt>
                <c:pt idx="20">
                  <c:v>0.0521821904819834</c:v>
                </c:pt>
                <c:pt idx="21">
                  <c:v>0.0551802251978626</c:v>
                </c:pt>
                <c:pt idx="22">
                  <c:v>0.0583225334700608</c:v>
                </c:pt>
                <c:pt idx="23">
                  <c:v>0.061614232515382</c:v>
                </c:pt>
                <c:pt idx="24">
                  <c:v>0.0650605087464943</c:v>
                </c:pt>
                <c:pt idx="25">
                  <c:v>0.0686666114544062</c:v>
                </c:pt>
                <c:pt idx="26">
                  <c:v>0.0724378459811755</c:v>
                </c:pt>
                <c:pt idx="27">
                  <c:v>0.0763795663745188</c:v>
                </c:pt>
                <c:pt idx="28">
                  <c:v>0.0804971675173173</c:v>
                </c:pt>
                <c:pt idx="29">
                  <c:v>0.0847960767264322</c:v>
                </c:pt>
                <c:pt idx="30">
                  <c:v>0.0892817448167721</c:v>
                </c:pt>
                <c:pt idx="31">
                  <c:v>0.0939596366281691</c:v>
                </c:pt>
                <c:pt idx="32">
                  <c:v>0.0988352210143493</c:v>
                </c:pt>
                <c:pt idx="33">
                  <c:v>0.103913960295089</c:v>
                </c:pt>
                <c:pt idx="34">
                  <c:v>0.109201299174556</c:v>
                </c:pt>
                <c:pt idx="35">
                  <c:v>0.11470265313083</c:v>
                </c:pt>
                <c:pt idx="36">
                  <c:v>0.120423396283673</c:v>
                </c:pt>
                <c:pt idx="37">
                  <c:v>0.126368848749774</c:v>
                </c:pt>
                <c:pt idx="38">
                  <c:v>0.132544263496926</c:v>
                </c:pt>
                <c:pt idx="39">
                  <c:v>0.138954812710883</c:v>
                </c:pt>
                <c:pt idx="40">
                  <c:v>0.145605573691012</c:v>
                </c:pt>
                <c:pt idx="41">
                  <c:v>0.152501514293261</c:v>
                </c:pt>
                <c:pt idx="42">
                  <c:v>0.159647477941407</c:v>
                </c:pt>
                <c:pt idx="43">
                  <c:v>0.167048168230065</c:v>
                </c:pt>
                <c:pt idx="44">
                  <c:v>0.174708133145436</c:v>
                </c:pt>
                <c:pt idx="45">
                  <c:v>0.182631748932312</c:v>
                </c:pt>
                <c:pt idx="46">
                  <c:v>0.190823203638416</c:v>
                </c:pt>
                <c:pt idx="47">
                  <c:v>0.19928648036967</c:v>
                </c:pt>
                <c:pt idx="48">
                  <c:v>0.20802534029251</c:v>
                </c:pt>
                <c:pt idx="49">
                  <c:v>0.217043305421904</c:v>
                </c:pt>
                <c:pt idx="50">
                  <c:v>0.226343641236112</c:v>
                </c:pt>
                <c:pt idx="51">
                  <c:v>0.23592933916171</c:v>
                </c:pt>
                <c:pt idx="52">
                  <c:v>0.245803098974682</c:v>
                </c:pt>
                <c:pt idx="53">
                  <c:v>0.255967311165679</c:v>
                </c:pt>
                <c:pt idx="54">
                  <c:v>0.266424039319694</c:v>
                </c:pt>
                <c:pt idx="55">
                  <c:v>0.277175002562499</c:v>
                </c:pt>
                <c:pt idx="56">
                  <c:v>0.288221558128089</c:v>
                </c:pt>
                <c:pt idx="57">
                  <c:v>0.299564684103237</c:v>
                </c:pt>
                <c:pt idx="58">
                  <c:v>0.311204962406928</c:v>
                </c:pt>
                <c:pt idx="59">
                  <c:v>0.323142562063917</c:v>
                </c:pt>
                <c:pt idx="60">
                  <c:v>0.335377222833048</c:v>
                </c:pt>
                <c:pt idx="61">
                  <c:v>0.347908239252089</c:v>
                </c:pt>
                <c:pt idx="62">
                  <c:v>0.360734445161811</c:v>
                </c:pt>
                <c:pt idx="63">
                  <c:v>0.373854198772801</c:v>
                </c:pt>
                <c:pt idx="64">
                  <c:v>0.387265368339007</c:v>
                </c:pt>
                <c:pt idx="65">
                  <c:v>0.400965318502347</c:v>
                </c:pt>
                <c:pt idx="66">
                  <c:v>0.414950897372736</c:v>
                </c:pt>
                <c:pt idx="67">
                  <c:v>0.429218424407746</c:v>
                </c:pt>
                <c:pt idx="68">
                  <c:v>0.443763679155628</c:v>
                </c:pt>
                <c:pt idx="69">
                  <c:v>0.458581890924744</c:v>
                </c:pt>
                <c:pt idx="70">
                  <c:v>0.473667729441463</c:v>
                </c:pt>
                <c:pt idx="71">
                  <c:v>0.489015296557328</c:v>
                </c:pt>
                <c:pt idx="72">
                  <c:v>0.504618119064764</c:v>
                </c:pt>
                <c:pt idx="73">
                  <c:v>0.520469142678793</c:v>
                </c:pt>
                <c:pt idx="74">
                  <c:v>0.536560727240092</c:v>
                </c:pt>
                <c:pt idx="75">
                  <c:v>0.552884643192388</c:v>
                </c:pt>
                <c:pt idx="76">
                  <c:v>0.569432069384479</c:v>
                </c:pt>
                <c:pt idx="77">
                  <c:v>0.586193592244257</c:v>
                </c:pt>
                <c:pt idx="78">
                  <c:v>0.603159206368866</c:v>
                </c:pt>
                <c:pt idx="79">
                  <c:v>0.620318316571651</c:v>
                </c:pt>
                <c:pt idx="80">
                  <c:v>0.637659741422792</c:v>
                </c:pt>
                <c:pt idx="81">
                  <c:v>0.655171718316517</c:v>
                </c:pt>
                <c:pt idx="82">
                  <c:v>0.672841910093541</c:v>
                </c:pt>
                <c:pt idx="83">
                  <c:v>0.690657413242878</c:v>
                </c:pt>
                <c:pt idx="84">
                  <c:v>0.70860476770249</c:v>
                </c:pt>
                <c:pt idx="85">
                  <c:v>0.726669968273323</c:v>
                </c:pt>
                <c:pt idx="86">
                  <c:v>0.74483847765618</c:v>
                </c:pt>
                <c:pt idx="87">
                  <c:v>0.763095241115619</c:v>
                </c:pt>
                <c:pt idx="88">
                  <c:v>0.78142470276965</c:v>
                </c:pt>
                <c:pt idx="89">
                  <c:v>0.799810823498431</c:v>
                </c:pt>
                <c:pt idx="90">
                  <c:v>0.818237100459525</c:v>
                </c:pt>
                <c:pt idx="91">
                  <c:v>0.836686588191497</c:v>
                </c:pt>
                <c:pt idx="92">
                  <c:v>0.855141921281823</c:v>
                </c:pt>
                <c:pt idx="93">
                  <c:v>0.873585338569215</c:v>
                </c:pt>
                <c:pt idx="94">
                  <c:v>0.891998708844557</c:v>
                </c:pt>
                <c:pt idx="95">
                  <c:v>0.910363558008808</c:v>
                </c:pt>
                <c:pt idx="96">
                  <c:v>0.928661097640329</c:v>
                </c:pt>
                <c:pt idx="97">
                  <c:v>0.946872254918337</c:v>
                </c:pt>
                <c:pt idx="98">
                  <c:v>0.964977703843472</c:v>
                </c:pt>
                <c:pt idx="99">
                  <c:v>0.982957897690855</c:v>
                </c:pt>
                <c:pt idx="100">
                  <c:v>1.00079310262557</c:v>
                </c:pt>
                <c:pt idx="101">
                  <c:v>1.01846343240523</c:v>
                </c:pt>
                <c:pt idx="102">
                  <c:v>1.03594888408908</c:v>
                </c:pt>
                <c:pt idx="103">
                  <c:v>1.05322937466845</c:v>
                </c:pt>
                <c:pt idx="104">
                  <c:v>1.0702847785283</c:v>
                </c:pt>
                <c:pt idx="105">
                  <c:v>1.08709496564581</c:v>
                </c:pt>
                <c:pt idx="106">
                  <c:v>1.10363984042716</c:v>
                </c:pt>
                <c:pt idx="107">
                  <c:v>1.11989938108068</c:v>
                </c:pt>
                <c:pt idx="108">
                  <c:v>1.13585367942028</c:v>
                </c:pt>
                <c:pt idx="109">
                  <c:v>1.15148298099065</c:v>
                </c:pt>
                <c:pt idx="110">
                  <c:v>1.16676772540266</c:v>
                </c:pt>
                <c:pt idx="111">
                  <c:v>1.18168858676511</c:v>
                </c:pt>
                <c:pt idx="112">
                  <c:v>1.19622651409709</c:v>
                </c:pt>
                <c:pt idx="113">
                  <c:v>1.21036277160383</c:v>
                </c:pt>
                <c:pt idx="114">
                  <c:v>1.22407897869752</c:v>
                </c:pt>
                <c:pt idx="115">
                  <c:v>1.23735714964442</c:v>
                </c:pt>
                <c:pt idx="116">
                  <c:v>1.25017973271899</c:v>
                </c:pt>
                <c:pt idx="117">
                  <c:v>1.26252964874625</c:v>
                </c:pt>
                <c:pt idx="118">
                  <c:v>1.27439032891447</c:v>
                </c:pt>
                <c:pt idx="119">
                  <c:v>1.28574575174099</c:v>
                </c:pt>
                <c:pt idx="120">
                  <c:v>1.29658047907643</c:v>
                </c:pt>
                <c:pt idx="121">
                  <c:v>1.3068796910338</c:v>
                </c:pt>
                <c:pt idx="122">
                  <c:v>1.31662921973237</c:v>
                </c:pt>
                <c:pt idx="123">
                  <c:v>1.32581558174875</c:v>
                </c:pt>
                <c:pt idx="124">
                  <c:v>1.33442600917112</c:v>
                </c:pt>
                <c:pt idx="125">
                  <c:v>1.34244847915682</c:v>
                </c:pt>
                <c:pt idx="126">
                  <c:v>1.3498717418973</c:v>
                </c:pt>
                <c:pt idx="127">
                  <c:v>1.35668534689956</c:v>
                </c:pt>
                <c:pt idx="128">
                  <c:v>1.3628796674982</c:v>
                </c:pt>
                <c:pt idx="129">
                  <c:v>1.36844592351741</c:v>
                </c:pt>
                <c:pt idx="130">
                  <c:v>1.37337620200851</c:v>
                </c:pt>
                <c:pt idx="131">
                  <c:v>1.37766347599424</c:v>
                </c:pt>
                <c:pt idx="132">
                  <c:v>1.38130162115782</c:v>
                </c:pt>
                <c:pt idx="133">
                  <c:v>1.38428543042121</c:v>
                </c:pt>
                <c:pt idx="134">
                  <c:v>1.38661062636402</c:v>
                </c:pt>
                <c:pt idx="135">
                  <c:v>1.38827387144164</c:v>
                </c:pt>
                <c:pt idx="136">
                  <c:v>1.38927277596835</c:v>
                </c:pt>
                <c:pt idx="137">
                  <c:v>1.38960590383875</c:v>
                </c:pt>
                <c:pt idx="138">
                  <c:v>1.38927277596835</c:v>
                </c:pt>
                <c:pt idx="139">
                  <c:v>1.38827387144164</c:v>
                </c:pt>
                <c:pt idx="140">
                  <c:v>1.38661062636402</c:v>
                </c:pt>
                <c:pt idx="141">
                  <c:v>1.38428543042121</c:v>
                </c:pt>
                <c:pt idx="142">
                  <c:v>1.38130162115783</c:v>
                </c:pt>
                <c:pt idx="143">
                  <c:v>1.37766347599425</c:v>
                </c:pt>
                <c:pt idx="144">
                  <c:v>1.37337620200852</c:v>
                </c:pt>
                <c:pt idx="145">
                  <c:v>1.36844592351742</c:v>
                </c:pt>
                <c:pt idx="146">
                  <c:v>1.3628796674982</c:v>
                </c:pt>
                <c:pt idx="147">
                  <c:v>1.35668534689956</c:v>
                </c:pt>
                <c:pt idx="148">
                  <c:v>1.3498717418973</c:v>
                </c:pt>
                <c:pt idx="149">
                  <c:v>1.34244847915682</c:v>
                </c:pt>
                <c:pt idx="150">
                  <c:v>1.33442600917112</c:v>
                </c:pt>
                <c:pt idx="151">
                  <c:v>1.32581558174875</c:v>
                </c:pt>
                <c:pt idx="152">
                  <c:v>1.31662921973238</c:v>
                </c:pt>
                <c:pt idx="153">
                  <c:v>1.3068796910338</c:v>
                </c:pt>
                <c:pt idx="154">
                  <c:v>1.29658047907643</c:v>
                </c:pt>
                <c:pt idx="155">
                  <c:v>1.285745751741</c:v>
                </c:pt>
                <c:pt idx="156">
                  <c:v>1.27439032891447</c:v>
                </c:pt>
                <c:pt idx="157">
                  <c:v>1.26252964874626</c:v>
                </c:pt>
                <c:pt idx="158">
                  <c:v>1.25017973271899</c:v>
                </c:pt>
                <c:pt idx="159">
                  <c:v>1.23735714964443</c:v>
                </c:pt>
                <c:pt idx="160">
                  <c:v>1.22407897869752</c:v>
                </c:pt>
                <c:pt idx="161">
                  <c:v>1.21036277160383</c:v>
                </c:pt>
                <c:pt idx="162">
                  <c:v>1.1962265140971</c:v>
                </c:pt>
                <c:pt idx="163">
                  <c:v>1.18168858676511</c:v>
                </c:pt>
                <c:pt idx="164">
                  <c:v>1.16676772540266</c:v>
                </c:pt>
                <c:pt idx="165">
                  <c:v>1.15148298099065</c:v>
                </c:pt>
                <c:pt idx="166">
                  <c:v>1.13585367942028</c:v>
                </c:pt>
                <c:pt idx="167">
                  <c:v>1.11989938108069</c:v>
                </c:pt>
                <c:pt idx="168">
                  <c:v>1.10363984042716</c:v>
                </c:pt>
                <c:pt idx="169">
                  <c:v>1.08709496564581</c:v>
                </c:pt>
                <c:pt idx="170">
                  <c:v>1.0702847785283</c:v>
                </c:pt>
                <c:pt idx="171">
                  <c:v>1.05322937466845</c:v>
                </c:pt>
                <c:pt idx="172">
                  <c:v>1.03594888408908</c:v>
                </c:pt>
                <c:pt idx="173">
                  <c:v>1.01846343240523</c:v>
                </c:pt>
                <c:pt idx="174">
                  <c:v>1.00079310262557</c:v>
                </c:pt>
                <c:pt idx="175">
                  <c:v>0.982957897690855</c:v>
                </c:pt>
                <c:pt idx="176">
                  <c:v>0.964977703843472</c:v>
                </c:pt>
                <c:pt idx="177">
                  <c:v>0.946872254918337</c:v>
                </c:pt>
                <c:pt idx="178">
                  <c:v>0.928661097640328</c:v>
                </c:pt>
                <c:pt idx="179">
                  <c:v>0.910363558008807</c:v>
                </c:pt>
                <c:pt idx="180">
                  <c:v>0.891998708844556</c:v>
                </c:pt>
                <c:pt idx="181">
                  <c:v>0.873585338569214</c:v>
                </c:pt>
                <c:pt idx="182">
                  <c:v>0.855141921281822</c:v>
                </c:pt>
                <c:pt idx="183">
                  <c:v>0.836686588191496</c:v>
                </c:pt>
                <c:pt idx="184">
                  <c:v>0.818237100459524</c:v>
                </c:pt>
                <c:pt idx="185">
                  <c:v>0.79981082349843</c:v>
                </c:pt>
                <c:pt idx="186">
                  <c:v>0.781424702769648</c:v>
                </c:pt>
                <c:pt idx="187">
                  <c:v>0.763095241115618</c:v>
                </c:pt>
                <c:pt idx="188">
                  <c:v>0.744838477656178</c:v>
                </c:pt>
                <c:pt idx="189">
                  <c:v>0.726669968273321</c:v>
                </c:pt>
                <c:pt idx="190">
                  <c:v>0.708604767702488</c:v>
                </c:pt>
                <c:pt idx="191">
                  <c:v>0.690657413242875</c:v>
                </c:pt>
                <c:pt idx="192">
                  <c:v>0.672841910093538</c:v>
                </c:pt>
                <c:pt idx="193">
                  <c:v>0.655171718316514</c:v>
                </c:pt>
                <c:pt idx="194">
                  <c:v>0.637659741422789</c:v>
                </c:pt>
                <c:pt idx="195">
                  <c:v>0.620318316571648</c:v>
                </c:pt>
                <c:pt idx="196">
                  <c:v>0.603159206368863</c:v>
                </c:pt>
                <c:pt idx="197">
                  <c:v>0.586193592244254</c:v>
                </c:pt>
                <c:pt idx="198">
                  <c:v>0.569432069384476</c:v>
                </c:pt>
                <c:pt idx="199">
                  <c:v>0.552884643192385</c:v>
                </c:pt>
                <c:pt idx="200">
                  <c:v>0.536560727240089</c:v>
                </c:pt>
                <c:pt idx="201">
                  <c:v>0.520469142678789</c:v>
                </c:pt>
                <c:pt idx="202">
                  <c:v>0.504618119064761</c:v>
                </c:pt>
                <c:pt idx="203">
                  <c:v>0.489015296557324</c:v>
                </c:pt>
                <c:pt idx="204">
                  <c:v>0.47366772944146</c:v>
                </c:pt>
                <c:pt idx="205">
                  <c:v>0.458581890924741</c:v>
                </c:pt>
                <c:pt idx="206">
                  <c:v>0.443763679155624</c:v>
                </c:pt>
                <c:pt idx="207">
                  <c:v>0.429218424407742</c:v>
                </c:pt>
                <c:pt idx="208">
                  <c:v>0.414950897372732</c:v>
                </c:pt>
                <c:pt idx="209">
                  <c:v>0.400965318502344</c:v>
                </c:pt>
                <c:pt idx="210">
                  <c:v>0.387265368339004</c:v>
                </c:pt>
                <c:pt idx="211">
                  <c:v>0.373854198772797</c:v>
                </c:pt>
                <c:pt idx="212">
                  <c:v>0.360734445161807</c:v>
                </c:pt>
                <c:pt idx="213">
                  <c:v>0.347908239252085</c:v>
                </c:pt>
                <c:pt idx="214">
                  <c:v>0.335377222833045</c:v>
                </c:pt>
                <c:pt idx="215">
                  <c:v>0.323142562063914</c:v>
                </c:pt>
                <c:pt idx="216">
                  <c:v>0.311204962406925</c:v>
                </c:pt>
                <c:pt idx="217">
                  <c:v>0.299564684103234</c:v>
                </c:pt>
                <c:pt idx="218">
                  <c:v>0.288221558128086</c:v>
                </c:pt>
                <c:pt idx="219">
                  <c:v>0.277175002562497</c:v>
                </c:pt>
                <c:pt idx="220">
                  <c:v>0.266424039319692</c:v>
                </c:pt>
                <c:pt idx="221">
                  <c:v>0.255967311165676</c:v>
                </c:pt>
                <c:pt idx="222">
                  <c:v>0.24580309897468</c:v>
                </c:pt>
                <c:pt idx="223">
                  <c:v>0.235929339161708</c:v>
                </c:pt>
                <c:pt idx="224">
                  <c:v>0.22634364123611</c:v>
                </c:pt>
                <c:pt idx="225">
                  <c:v>0.217043305421902</c:v>
                </c:pt>
                <c:pt idx="226">
                  <c:v>0.208025340292509</c:v>
                </c:pt>
                <c:pt idx="227">
                  <c:v>0.199286480369668</c:v>
                </c:pt>
                <c:pt idx="228">
                  <c:v>0.190823203638415</c:v>
                </c:pt>
                <c:pt idx="229">
                  <c:v>0.18263174893231</c:v>
                </c:pt>
                <c:pt idx="230">
                  <c:v>0.174708133145435</c:v>
                </c:pt>
                <c:pt idx="231">
                  <c:v>0.167048168230064</c:v>
                </c:pt>
                <c:pt idx="232">
                  <c:v>0.159647477941406</c:v>
                </c:pt>
                <c:pt idx="233">
                  <c:v>0.15250151429326</c:v>
                </c:pt>
                <c:pt idx="234">
                  <c:v>0.145605573691012</c:v>
                </c:pt>
                <c:pt idx="235">
                  <c:v>0.138954812710882</c:v>
                </c:pt>
                <c:pt idx="236">
                  <c:v>0.132544263496926</c:v>
                </c:pt>
                <c:pt idx="237">
                  <c:v>0.126368848749774</c:v>
                </c:pt>
                <c:pt idx="238">
                  <c:v>0.120423396283673</c:v>
                </c:pt>
                <c:pt idx="239">
                  <c:v>0.11470265313083</c:v>
                </c:pt>
                <c:pt idx="240">
                  <c:v>0.109201299174556</c:v>
                </c:pt>
                <c:pt idx="241">
                  <c:v>0.103913960295089</c:v>
                </c:pt>
                <c:pt idx="242">
                  <c:v>0.0988352210143493</c:v>
                </c:pt>
                <c:pt idx="243">
                  <c:v>0.0939596366281691</c:v>
                </c:pt>
                <c:pt idx="244">
                  <c:v>0.0892817448167722</c:v>
                </c:pt>
                <c:pt idx="245">
                  <c:v>0.0847960767264324</c:v>
                </c:pt>
                <c:pt idx="246">
                  <c:v>0.0804971675173174</c:v>
                </c:pt>
                <c:pt idx="247">
                  <c:v>0.076379566374519</c:v>
                </c:pt>
                <c:pt idx="248">
                  <c:v>0.0724378459811757</c:v>
                </c:pt>
                <c:pt idx="249">
                  <c:v>0.0686666114544065</c:v>
                </c:pt>
                <c:pt idx="250">
                  <c:v>0.0650605087464945</c:v>
                </c:pt>
                <c:pt idx="251">
                  <c:v>0.0616142325153823</c:v>
                </c:pt>
                <c:pt idx="252">
                  <c:v>0.0583225334700611</c:v>
                </c:pt>
                <c:pt idx="253">
                  <c:v>0.0551802251978629</c:v>
                </c:pt>
                <c:pt idx="254">
                  <c:v>0.0521821904819837</c:v>
                </c:pt>
                <c:pt idx="255">
                  <c:v>0.0493233871187892</c:v>
                </c:pt>
                <c:pt idx="256">
                  <c:v>0.0465988532455736</c:v>
                </c:pt>
                <c:pt idx="257">
                  <c:v>0.0440037121904629</c:v>
                </c:pt>
                <c:pt idx="258">
                  <c:v>0.041533176857075</c:v>
                </c:pt>
                <c:pt idx="259">
                  <c:v>0.0391825536573735</c:v>
                </c:pt>
                <c:pt idx="260">
                  <c:v>0.0369472460068776</c:v>
                </c:pt>
                <c:pt idx="261">
                  <c:v>0.0348227573970298</c:v>
                </c:pt>
                <c:pt idx="262">
                  <c:v>0.0328046940600629</c:v>
                </c:pt>
                <c:pt idx="263">
                  <c:v>0.030888767242166</c:v>
                </c:pt>
                <c:pt idx="264">
                  <c:v>0.0290707951011218</c:v>
                </c:pt>
                <c:pt idx="265">
                  <c:v>0.0273467042448737</c:v>
                </c:pt>
                <c:pt idx="266">
                  <c:v>0.025712530927696</c:v>
                </c:pt>
                <c:pt idx="267">
                  <c:v>0.0241644219207782</c:v>
                </c:pt>
                <c:pt idx="268">
                  <c:v>0.0226986350740975</c:v>
                </c:pt>
                <c:pt idx="269">
                  <c:v>0.021311539586458</c:v>
                </c:pt>
                <c:pt idx="270">
                  <c:v>0.0199996160005097</c:v>
                </c:pt>
                <c:pt idx="271">
                  <c:v>0.0187594559394397</c:v>
                </c:pt>
                <c:pt idx="272">
                  <c:v>0.0175877616018518</c:v>
                </c:pt>
                <c:pt idx="273">
                  <c:v>0.0164813450311251</c:v>
                </c:pt>
                <c:pt idx="274">
                  <c:v>0.015437127175266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708401"/>
        <c:axId val="25167070"/>
      </c:lineChart>
      <c:catAx>
        <c:axId val="227084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167070"/>
        <c:crosses val="autoZero"/>
        <c:auto val="1"/>
        <c:lblAlgn val="ctr"/>
        <c:lblOffset val="100"/>
        <c:noMultiLvlLbl val="0"/>
      </c:catAx>
      <c:valAx>
        <c:axId val="251670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7084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Функция распределения для k=275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'k=275'!$J$2:$J$276</c:f>
              <c:numCache>
                <c:formatCode>General</c:formatCode>
                <c:ptCount val="275"/>
                <c:pt idx="0">
                  <c:v>0.00134989803163009</c:v>
                </c:pt>
                <c:pt idx="1">
                  <c:v>0.00145019632529288</c:v>
                </c:pt>
                <c:pt idx="2">
                  <c:v>0.00155725317439191</c:v>
                </c:pt>
                <c:pt idx="3">
                  <c:v>0.0016714692219989</c:v>
                </c:pt>
                <c:pt idx="4">
                  <c:v>0.00179326480987749</c:v>
                </c:pt>
                <c:pt idx="5">
                  <c:v>0.00192308066618905</c:v>
                </c:pt>
                <c:pt idx="6">
                  <c:v>0.00206137859845859</c:v>
                </c:pt>
                <c:pt idx="7">
                  <c:v>0.00220864219043358</c:v>
                </c:pt>
                <c:pt idx="8">
                  <c:v>0.00236537750136678</c:v>
                </c:pt>
                <c:pt idx="9">
                  <c:v>0.00253211376615107</c:v>
                </c:pt>
                <c:pt idx="10">
                  <c:v>0.00270940409462994</c:v>
                </c:pt>
                <c:pt idx="11">
                  <c:v>0.00289782616830179</c:v>
                </c:pt>
                <c:pt idx="12">
                  <c:v>0.00309798293253045</c:v>
                </c:pt>
                <c:pt idx="13">
                  <c:v>0.00331050328226808</c:v>
                </c:pt>
                <c:pt idx="14">
                  <c:v>0.00353604273919055</c:v>
                </c:pt>
                <c:pt idx="15">
                  <c:v>0.00377528411804054</c:v>
                </c:pt>
                <c:pt idx="16">
                  <c:v>0.00402893817986898</c:v>
                </c:pt>
                <c:pt idx="17">
                  <c:v>0.00429774426976296</c:v>
                </c:pt>
                <c:pt idx="18">
                  <c:v>0.00458247093654797</c:v>
                </c:pt>
                <c:pt idx="19">
                  <c:v>0.00488391653185382</c:v>
                </c:pt>
                <c:pt idx="20">
                  <c:v>0.00520290978583951</c:v>
                </c:pt>
                <c:pt idx="21">
                  <c:v>0.00554031035678069</c:v>
                </c:pt>
                <c:pt idx="22">
                  <c:v>0.00589700935163663</c:v>
                </c:pt>
                <c:pt idx="23">
                  <c:v>0.00627392981463194</c:v>
                </c:pt>
                <c:pt idx="24">
                  <c:v>0.00667202718081161</c:v>
                </c:pt>
                <c:pt idx="25">
                  <c:v>0.00709228969145771</c:v>
                </c:pt>
                <c:pt idx="26">
                  <c:v>0.00753573876819226</c:v>
                </c:pt>
                <c:pt idx="27">
                  <c:v>0.00800342934253489</c:v>
                </c:pt>
                <c:pt idx="28">
                  <c:v>0.00849645013763535</c:v>
                </c:pt>
                <c:pt idx="29">
                  <c:v>0.00901592389886134</c:v>
                </c:pt>
                <c:pt idx="30">
                  <c:v>0.009563007569892</c:v>
                </c:pt>
                <c:pt idx="31">
                  <c:v>0.0101388924109464</c:v>
                </c:pt>
                <c:pt idx="32">
                  <c:v>0.0107448040557674</c:v>
                </c:pt>
                <c:pt idx="33">
                  <c:v>0.0113820025039803</c:v>
                </c:pt>
                <c:pt idx="34">
                  <c:v>0.0120517820454623</c:v>
                </c:pt>
                <c:pt idx="35">
                  <c:v>0.0127554711133787</c:v>
                </c:pt>
                <c:pt idx="36">
                  <c:v>0.0134944320625845</c:v>
                </c:pt>
                <c:pt idx="37">
                  <c:v>0.0142700608701388</c:v>
                </c:pt>
                <c:pt idx="38">
                  <c:v>0.0150837867547434</c:v>
                </c:pt>
                <c:pt idx="39">
                  <c:v>0.0159370717119999</c:v>
                </c:pt>
                <c:pt idx="40">
                  <c:v>0.0168314099624688</c:v>
                </c:pt>
                <c:pt idx="41">
                  <c:v>0.0177683273096269</c:v>
                </c:pt>
                <c:pt idx="42">
                  <c:v>0.0187493804049408</c:v>
                </c:pt>
                <c:pt idx="43">
                  <c:v>0.0197761559174154</c:v>
                </c:pt>
                <c:pt idx="44">
                  <c:v>0.0208502696051309</c:v>
                </c:pt>
                <c:pt idx="45">
                  <c:v>0.0219733652864538</c:v>
                </c:pt>
                <c:pt idx="46">
                  <c:v>0.023147113708794</c:v>
                </c:pt>
                <c:pt idx="47">
                  <c:v>0.0243732113129849</c:v>
                </c:pt>
                <c:pt idx="48">
                  <c:v>0.0256533788915792</c:v>
                </c:pt>
                <c:pt idx="49">
                  <c:v>0.0269893601395932</c:v>
                </c:pt>
                <c:pt idx="50">
                  <c:v>0.0283829200964776</c:v>
                </c:pt>
                <c:pt idx="51">
                  <c:v>0.0298358434783627</c:v>
                </c:pt>
                <c:pt idx="52">
                  <c:v>0.0313499328999047</c:v>
                </c:pt>
                <c:pt idx="53">
                  <c:v>0.0329270069853553</c:v>
                </c:pt>
                <c:pt idx="54">
                  <c:v>0.0345688983687864</c:v>
                </c:pt>
                <c:pt idx="55">
                  <c:v>0.0362774515837242</c:v>
                </c:pt>
                <c:pt idx="56">
                  <c:v>0.0380545208427809</c:v>
                </c:pt>
                <c:pt idx="57">
                  <c:v>0.0399019677082221</c:v>
                </c:pt>
                <c:pt idx="58">
                  <c:v>0.041821658654762</c:v>
                </c:pt>
                <c:pt idx="59">
                  <c:v>0.0438154625262496</c:v>
                </c:pt>
                <c:pt idx="60">
                  <c:v>0.0458852478882852</c:v>
                </c:pt>
                <c:pt idx="61">
                  <c:v>0.0480328802791899</c:v>
                </c:pt>
                <c:pt idx="62">
                  <c:v>0.0502602193621445</c:v>
                </c:pt>
                <c:pt idx="63">
                  <c:v>0.0525691159817086</c:v>
                </c:pt>
                <c:pt idx="64">
                  <c:v>0.0549614091283341</c:v>
                </c:pt>
                <c:pt idx="65">
                  <c:v>0.0574389228148893</c:v>
                </c:pt>
                <c:pt idx="66">
                  <c:v>0.0600034628696131</c:v>
                </c:pt>
                <c:pt idx="67">
                  <c:v>0.0626568136503273</c:v>
                </c:pt>
                <c:pt idx="68">
                  <c:v>0.0654007346851318</c:v>
                </c:pt>
                <c:pt idx="69">
                  <c:v>0.0682369572452118</c:v>
                </c:pt>
                <c:pt idx="70">
                  <c:v>0.071167180855774</c:v>
                </c:pt>
                <c:pt idx="71">
                  <c:v>0.0741930697515193</c:v>
                </c:pt>
                <c:pt idx="72">
                  <c:v>0.0773162492834361</c:v>
                </c:pt>
                <c:pt idx="73">
                  <c:v>0.0805383022840628</c:v>
                </c:pt>
                <c:pt idx="74">
                  <c:v>0.0838607653987272</c:v>
                </c:pt>
                <c:pt idx="75">
                  <c:v>0.0872851253906068</c:v>
                </c:pt>
                <c:pt idx="76">
                  <c:v>0.090812815427783</c:v>
                </c:pt>
                <c:pt idx="77">
                  <c:v>0.0944452113607648</c:v>
                </c:pt>
                <c:pt idx="78">
                  <c:v>0.0981836279992501</c:v>
                </c:pt>
                <c:pt idx="79">
                  <c:v>0.102029315397155</c:v>
                </c:pt>
                <c:pt idx="80">
                  <c:v>0.10598345515519</c:v>
                </c:pt>
                <c:pt idx="81">
                  <c:v>0.110047156750474</c:v>
                </c:pt>
                <c:pt idx="82">
                  <c:v>0.114221453902883</c:v>
                </c:pt>
                <c:pt idx="83">
                  <c:v>0.118507300987981</c:v>
                </c:pt>
                <c:pt idx="84">
                  <c:v>0.122905569506533</c:v>
                </c:pt>
                <c:pt idx="85">
                  <c:v>0.127417044620695</c:v>
                </c:pt>
                <c:pt idx="86">
                  <c:v>0.132042421767053</c:v>
                </c:pt>
                <c:pt idx="87">
                  <c:v>0.136782303356743</c:v>
                </c:pt>
                <c:pt idx="88">
                  <c:v>0.141637195572861</c:v>
                </c:pt>
                <c:pt idx="89">
                  <c:v>0.146607505275382</c:v>
                </c:pt>
                <c:pt idx="90">
                  <c:v>0.151693537023718</c:v>
                </c:pt>
                <c:pt idx="91">
                  <c:v>0.156895490226964</c:v>
                </c:pt>
                <c:pt idx="92">
                  <c:v>0.162213456431754</c:v>
                </c:pt>
                <c:pt idx="93">
                  <c:v>0.167647416757452</c:v>
                </c:pt>
                <c:pt idx="94">
                  <c:v>0.173197239488236</c:v>
                </c:pt>
                <c:pt idx="95">
                  <c:v>0.178862677831348</c:v>
                </c:pt>
                <c:pt idx="96">
                  <c:v>0.184643367850538</c:v>
                </c:pt>
                <c:pt idx="97">
                  <c:v>0.190538826583393</c:v>
                </c:pt>
                <c:pt idx="98">
                  <c:v>0.196548450350897</c:v>
                </c:pt>
                <c:pt idx="99">
                  <c:v>0.20267151326716</c:v>
                </c:pt>
                <c:pt idx="100">
                  <c:v>0.208907165956878</c:v>
                </c:pt>
                <c:pt idx="101">
                  <c:v>0.215254434487566</c:v>
                </c:pt>
                <c:pt idx="102">
                  <c:v>0.221712219523167</c:v>
                </c:pt>
                <c:pt idx="103">
                  <c:v>0.228279295705093</c:v>
                </c:pt>
                <c:pt idx="104">
                  <c:v>0.234954311266207</c:v>
                </c:pt>
                <c:pt idx="105">
                  <c:v>0.241735787882684</c:v>
                </c:pt>
                <c:pt idx="106">
                  <c:v>0.248622120768067</c:v>
                </c:pt>
                <c:pt idx="107">
                  <c:v>0.25561157901322</c:v>
                </c:pt>
                <c:pt idx="108">
                  <c:v>0.262702306175217</c:v>
                </c:pt>
                <c:pt idx="109">
                  <c:v>0.269892321117521</c:v>
                </c:pt>
                <c:pt idx="110">
                  <c:v>0.277179519103147</c:v>
                </c:pt>
                <c:pt idx="111">
                  <c:v>0.284561673141755</c:v>
                </c:pt>
                <c:pt idx="112">
                  <c:v>0.292036435590927</c:v>
                </c:pt>
                <c:pt idx="113">
                  <c:v>0.299601340011132</c:v>
                </c:pt>
                <c:pt idx="114">
                  <c:v>0.307253803273153</c:v>
                </c:pt>
                <c:pt idx="115">
                  <c:v>0.314991127916002</c:v>
                </c:pt>
                <c:pt idx="116">
                  <c:v>0.322810504752589</c:v>
                </c:pt>
                <c:pt idx="117">
                  <c:v>0.33070901571968</c:v>
                </c:pt>
                <c:pt idx="118">
                  <c:v>0.338683636967928</c:v>
                </c:pt>
                <c:pt idx="119">
                  <c:v>0.346731242187019</c:v>
                </c:pt>
                <c:pt idx="120">
                  <c:v>0.354848606160239</c:v>
                </c:pt>
                <c:pt idx="121">
                  <c:v>0.36303240854207</c:v>
                </c:pt>
                <c:pt idx="122">
                  <c:v>0.371279237851712</c:v>
                </c:pt>
                <c:pt idx="123">
                  <c:v>0.379585595674716</c:v>
                </c:pt>
                <c:pt idx="124">
                  <c:v>0.387947901064305</c:v>
                </c:pt>
                <c:pt idx="125">
                  <c:v>0.39636249513326</c:v>
                </c:pt>
                <c:pt idx="126">
                  <c:v>0.404825645826665</c:v>
                </c:pt>
                <c:pt idx="127">
                  <c:v>0.413333552865223</c:v>
                </c:pt>
                <c:pt idx="128">
                  <c:v>0.42188235284826</c:v>
                </c:pt>
                <c:pt idx="129">
                  <c:v>0.43046812450507</c:v>
                </c:pt>
                <c:pt idx="130">
                  <c:v>0.439086894082703</c:v>
                </c:pt>
                <c:pt idx="131">
                  <c:v>0.447734640857901</c:v>
                </c:pt>
                <c:pt idx="132">
                  <c:v>0.456407302760434</c:v>
                </c:pt>
                <c:pt idx="133">
                  <c:v>0.465100782094754</c:v>
                </c:pt>
                <c:pt idx="134">
                  <c:v>0.473810951346533</c:v>
                </c:pt>
                <c:pt idx="135">
                  <c:v>0.48253365906037</c:v>
                </c:pt>
                <c:pt idx="136">
                  <c:v>0.491264735774736</c:v>
                </c:pt>
                <c:pt idx="137">
                  <c:v>0.499999999999999</c:v>
                </c:pt>
                <c:pt idx="138">
                  <c:v>0.508735264225261</c:v>
                </c:pt>
                <c:pt idx="139">
                  <c:v>0.517466340939627</c:v>
                </c:pt>
                <c:pt idx="140">
                  <c:v>0.526189048653465</c:v>
                </c:pt>
                <c:pt idx="141">
                  <c:v>0.534899217905243</c:v>
                </c:pt>
                <c:pt idx="142">
                  <c:v>0.543592697239564</c:v>
                </c:pt>
                <c:pt idx="143">
                  <c:v>0.552265359142096</c:v>
                </c:pt>
                <c:pt idx="144">
                  <c:v>0.560913105917294</c:v>
                </c:pt>
                <c:pt idx="145">
                  <c:v>0.569531875494928</c:v>
                </c:pt>
                <c:pt idx="146">
                  <c:v>0.578117647151738</c:v>
                </c:pt>
                <c:pt idx="147">
                  <c:v>0.586666447134775</c:v>
                </c:pt>
                <c:pt idx="148">
                  <c:v>0.595174354173333</c:v>
                </c:pt>
                <c:pt idx="149">
                  <c:v>0.603637504866738</c:v>
                </c:pt>
                <c:pt idx="150">
                  <c:v>0.612052098935693</c:v>
                </c:pt>
                <c:pt idx="151">
                  <c:v>0.620414404325282</c:v>
                </c:pt>
                <c:pt idx="152">
                  <c:v>0.628720762148287</c:v>
                </c:pt>
                <c:pt idx="153">
                  <c:v>0.636967591457928</c:v>
                </c:pt>
                <c:pt idx="154">
                  <c:v>0.64515139383976</c:v>
                </c:pt>
                <c:pt idx="155">
                  <c:v>0.653268757812979</c:v>
                </c:pt>
                <c:pt idx="156">
                  <c:v>0.66131636303207</c:v>
                </c:pt>
                <c:pt idx="157">
                  <c:v>0.669290984280319</c:v>
                </c:pt>
                <c:pt idx="158">
                  <c:v>0.67718949524741</c:v>
                </c:pt>
                <c:pt idx="159">
                  <c:v>0.685008872083997</c:v>
                </c:pt>
                <c:pt idx="160">
                  <c:v>0.692746196726846</c:v>
                </c:pt>
                <c:pt idx="161">
                  <c:v>0.700398659988867</c:v>
                </c:pt>
                <c:pt idx="162">
                  <c:v>0.707963564409072</c:v>
                </c:pt>
                <c:pt idx="163">
                  <c:v>0.715438326858244</c:v>
                </c:pt>
                <c:pt idx="164">
                  <c:v>0.722820480896852</c:v>
                </c:pt>
                <c:pt idx="165">
                  <c:v>0.730107678882478</c:v>
                </c:pt>
                <c:pt idx="166">
                  <c:v>0.737297693824782</c:v>
                </c:pt>
                <c:pt idx="167">
                  <c:v>0.744388420986779</c:v>
                </c:pt>
                <c:pt idx="168">
                  <c:v>0.751377879231933</c:v>
                </c:pt>
                <c:pt idx="169">
                  <c:v>0.758264212117316</c:v>
                </c:pt>
                <c:pt idx="170">
                  <c:v>0.765045688733792</c:v>
                </c:pt>
                <c:pt idx="171">
                  <c:v>0.771720704294906</c:v>
                </c:pt>
                <c:pt idx="172">
                  <c:v>0.778287780476832</c:v>
                </c:pt>
                <c:pt idx="173">
                  <c:v>0.784745565512434</c:v>
                </c:pt>
                <c:pt idx="174">
                  <c:v>0.791092834043122</c:v>
                </c:pt>
                <c:pt idx="175">
                  <c:v>0.79732848673284</c:v>
                </c:pt>
                <c:pt idx="176">
                  <c:v>0.803451549649104</c:v>
                </c:pt>
                <c:pt idx="177">
                  <c:v>0.809461173416607</c:v>
                </c:pt>
                <c:pt idx="178">
                  <c:v>0.815356632149463</c:v>
                </c:pt>
                <c:pt idx="179">
                  <c:v>0.821137322168652</c:v>
                </c:pt>
                <c:pt idx="180">
                  <c:v>0.826802760511764</c:v>
                </c:pt>
                <c:pt idx="181">
                  <c:v>0.832352583242548</c:v>
                </c:pt>
                <c:pt idx="182">
                  <c:v>0.837786543568247</c:v>
                </c:pt>
                <c:pt idx="183">
                  <c:v>0.843104509773037</c:v>
                </c:pt>
                <c:pt idx="184">
                  <c:v>0.848306462976283</c:v>
                </c:pt>
                <c:pt idx="185">
                  <c:v>0.853392494724618</c:v>
                </c:pt>
                <c:pt idx="186">
                  <c:v>0.858362804427139</c:v>
                </c:pt>
                <c:pt idx="187">
                  <c:v>0.863217696643258</c:v>
                </c:pt>
                <c:pt idx="188">
                  <c:v>0.867957578232947</c:v>
                </c:pt>
                <c:pt idx="189">
                  <c:v>0.872582955379306</c:v>
                </c:pt>
                <c:pt idx="190">
                  <c:v>0.877094430493467</c:v>
                </c:pt>
                <c:pt idx="191">
                  <c:v>0.88149269901202</c:v>
                </c:pt>
                <c:pt idx="192">
                  <c:v>0.885778546097118</c:v>
                </c:pt>
                <c:pt idx="193">
                  <c:v>0.889952843249527</c:v>
                </c:pt>
                <c:pt idx="194">
                  <c:v>0.894016544844811</c:v>
                </c:pt>
                <c:pt idx="195">
                  <c:v>0.897970684602846</c:v>
                </c:pt>
                <c:pt idx="196">
                  <c:v>0.901816372000751</c:v>
                </c:pt>
                <c:pt idx="197">
                  <c:v>0.905554788639236</c:v>
                </c:pt>
                <c:pt idx="198">
                  <c:v>0.909187184572218</c:v>
                </c:pt>
                <c:pt idx="199">
                  <c:v>0.912714874609394</c:v>
                </c:pt>
                <c:pt idx="200">
                  <c:v>0.916139234601274</c:v>
                </c:pt>
                <c:pt idx="201">
                  <c:v>0.919461697715938</c:v>
                </c:pt>
                <c:pt idx="202">
                  <c:v>0.922683750716565</c:v>
                </c:pt>
                <c:pt idx="203">
                  <c:v>0.925806930248481</c:v>
                </c:pt>
                <c:pt idx="204">
                  <c:v>0.928832819144227</c:v>
                </c:pt>
                <c:pt idx="205">
                  <c:v>0.931763042754789</c:v>
                </c:pt>
                <c:pt idx="206">
                  <c:v>0.934599265314869</c:v>
                </c:pt>
                <c:pt idx="207">
                  <c:v>0.937343186349673</c:v>
                </c:pt>
                <c:pt idx="208">
                  <c:v>0.939996537130388</c:v>
                </c:pt>
                <c:pt idx="209">
                  <c:v>0.942561077185111</c:v>
                </c:pt>
                <c:pt idx="210">
                  <c:v>0.945038590871667</c:v>
                </c:pt>
                <c:pt idx="211">
                  <c:v>0.947430884018292</c:v>
                </c:pt>
                <c:pt idx="212">
                  <c:v>0.949739780637856</c:v>
                </c:pt>
                <c:pt idx="213">
                  <c:v>0.951967119720811</c:v>
                </c:pt>
                <c:pt idx="214">
                  <c:v>0.954114752111716</c:v>
                </c:pt>
                <c:pt idx="215">
                  <c:v>0.956184537473751</c:v>
                </c:pt>
                <c:pt idx="216">
                  <c:v>0.958178341345239</c:v>
                </c:pt>
                <c:pt idx="217">
                  <c:v>0.960098032291778</c:v>
                </c:pt>
                <c:pt idx="218">
                  <c:v>0.96194547915722</c:v>
                </c:pt>
                <c:pt idx="219">
                  <c:v>0.963722548416276</c:v>
                </c:pt>
                <c:pt idx="220">
                  <c:v>0.965431101631214</c:v>
                </c:pt>
                <c:pt idx="221">
                  <c:v>0.967072993014645</c:v>
                </c:pt>
                <c:pt idx="222">
                  <c:v>0.968650067100096</c:v>
                </c:pt>
                <c:pt idx="223">
                  <c:v>0.970164156521638</c:v>
                </c:pt>
                <c:pt idx="224">
                  <c:v>0.971617079903523</c:v>
                </c:pt>
                <c:pt idx="225">
                  <c:v>0.973010639860407</c:v>
                </c:pt>
                <c:pt idx="226">
                  <c:v>0.974346621108421</c:v>
                </c:pt>
                <c:pt idx="227">
                  <c:v>0.975626788687015</c:v>
                </c:pt>
                <c:pt idx="228">
                  <c:v>0.976852886291206</c:v>
                </c:pt>
                <c:pt idx="229">
                  <c:v>0.978026634713546</c:v>
                </c:pt>
                <c:pt idx="230">
                  <c:v>0.979149730394869</c:v>
                </c:pt>
                <c:pt idx="231">
                  <c:v>0.980223844082585</c:v>
                </c:pt>
                <c:pt idx="232">
                  <c:v>0.981250619595059</c:v>
                </c:pt>
                <c:pt idx="233">
                  <c:v>0.982231672690373</c:v>
                </c:pt>
                <c:pt idx="234">
                  <c:v>0.983168590037531</c:v>
                </c:pt>
                <c:pt idx="235">
                  <c:v>0.984062928288</c:v>
                </c:pt>
                <c:pt idx="236">
                  <c:v>0.984916213245257</c:v>
                </c:pt>
                <c:pt idx="237">
                  <c:v>0.985729939129861</c:v>
                </c:pt>
                <c:pt idx="238">
                  <c:v>0.986505567937416</c:v>
                </c:pt>
                <c:pt idx="239">
                  <c:v>0.987244528886621</c:v>
                </c:pt>
                <c:pt idx="240">
                  <c:v>0.987948217954538</c:v>
                </c:pt>
                <c:pt idx="241">
                  <c:v>0.98861799749602</c:v>
                </c:pt>
                <c:pt idx="242">
                  <c:v>0.989255195944233</c:v>
                </c:pt>
                <c:pt idx="243">
                  <c:v>0.989861107589054</c:v>
                </c:pt>
                <c:pt idx="244">
                  <c:v>0.990436992430108</c:v>
                </c:pt>
                <c:pt idx="245">
                  <c:v>0.990984076101139</c:v>
                </c:pt>
                <c:pt idx="246">
                  <c:v>0.991503549862365</c:v>
                </c:pt>
                <c:pt idx="247">
                  <c:v>0.991996570657465</c:v>
                </c:pt>
                <c:pt idx="248">
                  <c:v>0.992464261231808</c:v>
                </c:pt>
                <c:pt idx="249">
                  <c:v>0.992907710308542</c:v>
                </c:pt>
                <c:pt idx="250">
                  <c:v>0.993327972819188</c:v>
                </c:pt>
                <c:pt idx="251">
                  <c:v>0.993726070185368</c:v>
                </c:pt>
                <c:pt idx="252">
                  <c:v>0.994102990648363</c:v>
                </c:pt>
                <c:pt idx="253">
                  <c:v>0.994459689643219</c:v>
                </c:pt>
                <c:pt idx="254">
                  <c:v>0.99479709021416</c:v>
                </c:pt>
                <c:pt idx="255">
                  <c:v>0.995116083468146</c:v>
                </c:pt>
                <c:pt idx="256">
                  <c:v>0.995417529063452</c:v>
                </c:pt>
                <c:pt idx="257">
                  <c:v>0.995702255730237</c:v>
                </c:pt>
                <c:pt idx="258">
                  <c:v>0.995971061820131</c:v>
                </c:pt>
                <c:pt idx="259">
                  <c:v>0.996224715881959</c:v>
                </c:pt>
                <c:pt idx="260">
                  <c:v>0.996463957260809</c:v>
                </c:pt>
                <c:pt idx="261">
                  <c:v>0.996689496717732</c:v>
                </c:pt>
                <c:pt idx="262">
                  <c:v>0.99690201706747</c:v>
                </c:pt>
                <c:pt idx="263">
                  <c:v>0.997102173831698</c:v>
                </c:pt>
                <c:pt idx="264">
                  <c:v>0.99729059590537</c:v>
                </c:pt>
                <c:pt idx="265">
                  <c:v>0.997467886233849</c:v>
                </c:pt>
                <c:pt idx="266">
                  <c:v>0.997634622498633</c:v>
                </c:pt>
                <c:pt idx="267">
                  <c:v>0.997791357809566</c:v>
                </c:pt>
                <c:pt idx="268">
                  <c:v>0.997938621401541</c:v>
                </c:pt>
                <c:pt idx="269">
                  <c:v>0.998076919333811</c:v>
                </c:pt>
                <c:pt idx="270">
                  <c:v>0.998206735190123</c:v>
                </c:pt>
                <c:pt idx="271">
                  <c:v>0.998328530778001</c:v>
                </c:pt>
                <c:pt idx="272">
                  <c:v>0.998442746825608</c:v>
                </c:pt>
                <c:pt idx="273">
                  <c:v>0.998549803674707</c:v>
                </c:pt>
                <c:pt idx="274">
                  <c:v>0.99865010196837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006482"/>
        <c:axId val="26542393"/>
      </c:lineChart>
      <c:catAx>
        <c:axId val="460064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6542393"/>
        <c:crosses val="autoZero"/>
        <c:auto val="1"/>
        <c:lblAlgn val="ctr"/>
        <c:lblOffset val="100"/>
        <c:noMultiLvlLbl val="0"/>
      </c:catAx>
      <c:valAx>
        <c:axId val="265423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00648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Плотность распределения для k=350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'k=350'!$I$2:$I$351</c:f>
              <c:numCache>
                <c:formatCode>General</c:formatCode>
                <c:ptCount val="350"/>
                <c:pt idx="0">
                  <c:v>0.0153549982636958</c:v>
                </c:pt>
                <c:pt idx="1">
                  <c:v>0.0161653358933108</c:v>
                </c:pt>
                <c:pt idx="2">
                  <c:v>0.017013408613407</c:v>
                </c:pt>
                <c:pt idx="3">
                  <c:v>0.0179006817044743</c:v>
                </c:pt>
                <c:pt idx="4">
                  <c:v>0.0188286614316922</c:v>
                </c:pt>
                <c:pt idx="5">
                  <c:v>0.0197988953556986</c:v>
                </c:pt>
                <c:pt idx="6">
                  <c:v>0.0208129725969323</c:v>
                </c:pt>
                <c:pt idx="7">
                  <c:v>0.0218725240506618</c:v>
                </c:pt>
                <c:pt idx="8">
                  <c:v>0.0229792225497686</c:v>
                </c:pt>
                <c:pt idx="9">
                  <c:v>0.0241347829723135</c:v>
                </c:pt>
                <c:pt idx="10">
                  <c:v>0.0253409622908804</c:v>
                </c:pt>
                <c:pt idx="11">
                  <c:v>0.0265995595606617</c:v>
                </c:pt>
                <c:pt idx="12">
                  <c:v>0.0279124158432275</c:v>
                </c:pt>
                <c:pt idx="13">
                  <c:v>0.0292814140629025</c:v>
                </c:pt>
                <c:pt idx="14">
                  <c:v>0.0307084787926661</c:v>
                </c:pt>
                <c:pt idx="15">
                  <c:v>0.0321955759664852</c:v>
                </c:pt>
                <c:pt idx="16">
                  <c:v>0.0337447125149951</c:v>
                </c:pt>
                <c:pt idx="17">
                  <c:v>0.0353579359214556</c:v>
                </c:pt>
                <c:pt idx="18">
                  <c:v>0.0370373336949266</c:v>
                </c:pt>
                <c:pt idx="19">
                  <c:v>0.0387850327576377</c:v>
                </c:pt>
                <c:pt idx="20">
                  <c:v>0.0406031987435633</c:v>
                </c:pt>
                <c:pt idx="21">
                  <c:v>0.0424940352052568</c:v>
                </c:pt>
                <c:pt idx="22">
                  <c:v>0.044459782726057</c:v>
                </c:pt>
                <c:pt idx="23">
                  <c:v>0.0465027179348398</c:v>
                </c:pt>
                <c:pt idx="24">
                  <c:v>0.0486251524205667</c:v>
                </c:pt>
                <c:pt idx="25">
                  <c:v>0.0508294315439611</c:v>
                </c:pt>
                <c:pt idx="26">
                  <c:v>0.0531179331437449</c:v>
                </c:pt>
                <c:pt idx="27">
                  <c:v>0.0554930661349645</c:v>
                </c:pt>
                <c:pt idx="28">
                  <c:v>0.0579572689970603</c:v>
                </c:pt>
                <c:pt idx="29">
                  <c:v>0.060513008149453</c:v>
                </c:pt>
                <c:pt idx="30">
                  <c:v>0.063162776212565</c:v>
                </c:pt>
                <c:pt idx="31">
                  <c:v>0.0659090901523375</c:v>
                </c:pt>
                <c:pt idx="32">
                  <c:v>0.0687544893064717</c:v>
                </c:pt>
                <c:pt idx="33">
                  <c:v>0.071701533290788</c:v>
                </c:pt>
                <c:pt idx="34">
                  <c:v>0.0747527997842844</c:v>
                </c:pt>
                <c:pt idx="35">
                  <c:v>0.0779108821916698</c:v>
                </c:pt>
                <c:pt idx="36">
                  <c:v>0.0811783871823519</c:v>
                </c:pt>
                <c:pt idx="37">
                  <c:v>0.0845579321050787</c:v>
                </c:pt>
                <c:pt idx="38">
                  <c:v>0.0880521422776604</c:v>
                </c:pt>
                <c:pt idx="39">
                  <c:v>0.091663648151439</c:v>
                </c:pt>
                <c:pt idx="40">
                  <c:v>0.0953950823504218</c:v>
                </c:pt>
                <c:pt idx="41">
                  <c:v>0.0992490765852581</c:v>
                </c:pt>
                <c:pt idx="42">
                  <c:v>0.103228258442508</c:v>
                </c:pt>
                <c:pt idx="43">
                  <c:v>0.107335248049934</c:v>
                </c:pt>
                <c:pt idx="44">
                  <c:v>0.111572654618843</c:v>
                </c:pt>
                <c:pt idx="45">
                  <c:v>0.11594307286479</c:v>
                </c:pt>
                <c:pt idx="46">
                  <c:v>0.120449079308291</c:v>
                </c:pt>
                <c:pt idx="47">
                  <c:v>0.125093228457485</c:v>
                </c:pt>
                <c:pt idx="48">
                  <c:v>0.129878048875021</c:v>
                </c:pt>
                <c:pt idx="49">
                  <c:v>0.134806039131785</c:v>
                </c:pt>
                <c:pt idx="50">
                  <c:v>0.139879663650409</c:v>
                </c:pt>
                <c:pt idx="51">
                  <c:v>0.145101348441861</c:v>
                </c:pt>
                <c:pt idx="52">
                  <c:v>0.15047347673875</c:v>
                </c:pt>
                <c:pt idx="53">
                  <c:v>0.155998384529364</c:v>
                </c:pt>
                <c:pt idx="54">
                  <c:v>0.161678355996775</c:v>
                </c:pt>
                <c:pt idx="55">
                  <c:v>0.167515618867763</c:v>
                </c:pt>
                <c:pt idx="56">
                  <c:v>0.173512339676604</c:v>
                </c:pt>
                <c:pt idx="57">
                  <c:v>0.179670618949215</c:v>
                </c:pt>
                <c:pt idx="58">
                  <c:v>0.185992486313437</c:v>
                </c:pt>
                <c:pt idx="59">
                  <c:v>0.192479895541649</c:v>
                </c:pt>
                <c:pt idx="60">
                  <c:v>0.199134719532263</c:v>
                </c:pt>
                <c:pt idx="61">
                  <c:v>0.205958745236981</c:v>
                </c:pt>
                <c:pt idx="62">
                  <c:v>0.212953668541099</c:v>
                </c:pt>
                <c:pt idx="63">
                  <c:v>0.220121089104436</c:v>
                </c:pt>
                <c:pt idx="64">
                  <c:v>0.227462505170872</c:v>
                </c:pt>
                <c:pt idx="65">
                  <c:v>0.234979308354761</c:v>
                </c:pt>
                <c:pt idx="66">
                  <c:v>0.242672778412855</c:v>
                </c:pt>
                <c:pt idx="67">
                  <c:v>0.250544078010665</c:v>
                </c:pt>
                <c:pt idx="68">
                  <c:v>0.25859424749252</c:v>
                </c:pt>
                <c:pt idx="69">
                  <c:v>0.266824199664852</c:v>
                </c:pt>
                <c:pt idx="70">
                  <c:v>0.275234714602547</c:v>
                </c:pt>
                <c:pt idx="71">
                  <c:v>0.283826434488452</c:v>
                </c:pt>
                <c:pt idx="72">
                  <c:v>0.292599858496381</c:v>
                </c:pt>
                <c:pt idx="73">
                  <c:v>0.301555337728218</c:v>
                </c:pt>
                <c:pt idx="74">
                  <c:v>0.310693070215904</c:v>
                </c:pt>
                <c:pt idx="75">
                  <c:v>0.320013095999324</c:v>
                </c:pt>
                <c:pt idx="76">
                  <c:v>0.329515292291271</c:v>
                </c:pt>
                <c:pt idx="77">
                  <c:v>0.33919936874082</c:v>
                </c:pt>
                <c:pt idx="78">
                  <c:v>0.349064862806595</c:v>
                </c:pt>
                <c:pt idx="79">
                  <c:v>0.359111135251511</c:v>
                </c:pt>
                <c:pt idx="80">
                  <c:v>0.369337365770662</c:v>
                </c:pt>
                <c:pt idx="81">
                  <c:v>0.379742548764099</c:v>
                </c:pt>
                <c:pt idx="82">
                  <c:v>0.390325489266252</c:v>
                </c:pt>
                <c:pt idx="83">
                  <c:v>0.401084799043795</c:v>
                </c:pt>
                <c:pt idx="84">
                  <c:v>0.4120188928737</c:v>
                </c:pt>
                <c:pt idx="85">
                  <c:v>0.423125985013191</c:v>
                </c:pt>
                <c:pt idx="86">
                  <c:v>0.434404085873239</c:v>
                </c:pt>
                <c:pt idx="87">
                  <c:v>0.445850998907117</c:v>
                </c:pt>
                <c:pt idx="88">
                  <c:v>0.457464317725399</c:v>
                </c:pt>
                <c:pt idx="89">
                  <c:v>0.469241423448634</c:v>
                </c:pt>
                <c:pt idx="90">
                  <c:v>0.481179482308691</c:v>
                </c:pt>
                <c:pt idx="91">
                  <c:v>0.493275443509577</c:v>
                </c:pt>
                <c:pt idx="92">
                  <c:v>0.505526037358239</c:v>
                </c:pt>
                <c:pt idx="93">
                  <c:v>0.517927773675574</c:v>
                </c:pt>
                <c:pt idx="94">
                  <c:v>0.530476940497548</c:v>
                </c:pt>
                <c:pt idx="95">
                  <c:v>0.543169603075945</c:v>
                </c:pt>
                <c:pt idx="96">
                  <c:v>0.556001603187911</c:v>
                </c:pt>
                <c:pt idx="97">
                  <c:v>0.568968558762985</c:v>
                </c:pt>
                <c:pt idx="98">
                  <c:v>0.582065863835912</c:v>
                </c:pt>
                <c:pt idx="99">
                  <c:v>0.595288688832987</c:v>
                </c:pt>
                <c:pt idx="100">
                  <c:v>0.608631981199219</c:v>
                </c:pt>
                <c:pt idx="101">
                  <c:v>0.622090466373018</c:v>
                </c:pt>
                <c:pt idx="102">
                  <c:v>0.635658649114566</c:v>
                </c:pt>
                <c:pt idx="103">
                  <c:v>0.649330815193398</c:v>
                </c:pt>
                <c:pt idx="104">
                  <c:v>0.66310103344013</c:v>
                </c:pt>
                <c:pt idx="105">
                  <c:v>0.676963158166583</c:v>
                </c:pt>
                <c:pt idx="106">
                  <c:v>0.690910831957901</c:v>
                </c:pt>
                <c:pt idx="107">
                  <c:v>0.704937488839538</c:v>
                </c:pt>
                <c:pt idx="108">
                  <c:v>0.719036357821285</c:v>
                </c:pt>
                <c:pt idx="109">
                  <c:v>0.733200466819749</c:v>
                </c:pt>
                <c:pt idx="110">
                  <c:v>0.747422646959953</c:v>
                </c:pt>
                <c:pt idx="111">
                  <c:v>0.761695537255917</c:v>
                </c:pt>
                <c:pt idx="112">
                  <c:v>0.776011589669335</c:v>
                </c:pt>
                <c:pt idx="113">
                  <c:v>0.790363074544588</c:v>
                </c:pt>
                <c:pt idx="114">
                  <c:v>0.804742086417592</c:v>
                </c:pt>
                <c:pt idx="115">
                  <c:v>0.819140550195076</c:v>
                </c:pt>
                <c:pt idx="116">
                  <c:v>0.833550227700109</c:v>
                </c:pt>
                <c:pt idx="117">
                  <c:v>0.847962724578816</c:v>
                </c:pt>
                <c:pt idx="118">
                  <c:v>0.862369497562398</c:v>
                </c:pt>
                <c:pt idx="119">
                  <c:v>0.876761862077709</c:v>
                </c:pt>
                <c:pt idx="120">
                  <c:v>0.891131000198818</c:v>
                </c:pt>
                <c:pt idx="121">
                  <c:v>0.905467968931125</c:v>
                </c:pt>
                <c:pt idx="122">
                  <c:v>0.919763708818775</c:v>
                </c:pt>
                <c:pt idx="123">
                  <c:v>0.934009052865285</c:v>
                </c:pt>
                <c:pt idx="124">
                  <c:v>0.948194735756476</c:v>
                </c:pt>
                <c:pt idx="125">
                  <c:v>0.962311403374006</c:v>
                </c:pt>
                <c:pt idx="126">
                  <c:v>0.976349622587008</c:v>
                </c:pt>
                <c:pt idx="127">
                  <c:v>0.990299891308569</c:v>
                </c:pt>
                <c:pt idx="128">
                  <c:v>1.00415264880302</c:v>
                </c:pt>
                <c:pt idx="129">
                  <c:v>1.01789828622933</c:v>
                </c:pt>
                <c:pt idx="130">
                  <c:v>1.03152715740503</c:v>
                </c:pt>
                <c:pt idx="131">
                  <c:v>1.04502958977479</c:v>
                </c:pt>
                <c:pt idx="132">
                  <c:v>1.0583958955665</c:v>
                </c:pt>
                <c:pt idx="133">
                  <c:v>1.07161638311785</c:v>
                </c:pt>
                <c:pt idx="134">
                  <c:v>1.08468136835514</c:v>
                </c:pt>
                <c:pt idx="135">
                  <c:v>1.0975811864059</c:v>
                </c:pt>
                <c:pt idx="136">
                  <c:v>1.11030620332631</c:v>
                </c:pt>
                <c:pt idx="137">
                  <c:v>1.1228468279238</c:v>
                </c:pt>
                <c:pt idx="138">
                  <c:v>1.13519352365499</c:v>
                </c:pt>
                <c:pt idx="139">
                  <c:v>1.14733682057851</c:v>
                </c:pt>
                <c:pt idx="140">
                  <c:v>1.15926732734217</c:v>
                </c:pt>
                <c:pt idx="141">
                  <c:v>1.1709757431833</c:v>
                </c:pt>
                <c:pt idx="142">
                  <c:v>1.18245286992116</c:v>
                </c:pt>
                <c:pt idx="143">
                  <c:v>1.1936896239199</c:v>
                </c:pt>
                <c:pt idx="144">
                  <c:v>1.20467704800047</c:v>
                </c:pt>
                <c:pt idx="145">
                  <c:v>1.21540632327977</c:v>
                </c:pt>
                <c:pt idx="146">
                  <c:v>1.22586878091525</c:v>
                </c:pt>
                <c:pt idx="147">
                  <c:v>1.23605591373317</c:v>
                </c:pt>
                <c:pt idx="148">
                  <c:v>1.24595938771877</c:v>
                </c:pt>
                <c:pt idx="149">
                  <c:v>1.25557105334676</c:v>
                </c:pt>
                <c:pt idx="150">
                  <c:v>1.26488295673051</c:v>
                </c:pt>
                <c:pt idx="151">
                  <c:v>1.27388735056882</c:v>
                </c:pt>
                <c:pt idx="152">
                  <c:v>1.28257670486907</c:v>
                </c:pt>
                <c:pt idx="153">
                  <c:v>1.29094371742604</c:v>
                </c:pt>
                <c:pt idx="154">
                  <c:v>1.29898132403616</c:v>
                </c:pt>
                <c:pt idx="155">
                  <c:v>1.30668270842698</c:v>
                </c:pt>
                <c:pt idx="156">
                  <c:v>1.31404131188252</c:v>
                </c:pt>
                <c:pt idx="157">
                  <c:v>1.32105084254548</c:v>
                </c:pt>
                <c:pt idx="158">
                  <c:v>1.32770528437774</c:v>
                </c:pt>
                <c:pt idx="159">
                  <c:v>1.3339989057614</c:v>
                </c:pt>
                <c:pt idx="160">
                  <c:v>1.33992626772311</c:v>
                </c:pt>
                <c:pt idx="161">
                  <c:v>1.34548223176521</c:v>
                </c:pt>
                <c:pt idx="162">
                  <c:v>1.35066196728782</c:v>
                </c:pt>
                <c:pt idx="163">
                  <c:v>1.35546095858704</c:v>
                </c:pt>
                <c:pt idx="164">
                  <c:v>1.35987501141483</c:v>
                </c:pt>
                <c:pt idx="165">
                  <c:v>1.36390025908747</c:v>
                </c:pt>
                <c:pt idx="166">
                  <c:v>1.36753316812998</c:v>
                </c:pt>
                <c:pt idx="167">
                  <c:v>1.37077054344505</c:v>
                </c:pt>
                <c:pt idx="168">
                  <c:v>1.3736095329959</c:v>
                </c:pt>
                <c:pt idx="169">
                  <c:v>1.37604763199339</c:v>
                </c:pt>
                <c:pt idx="170">
                  <c:v>1.37808268657882</c:v>
                </c:pt>
                <c:pt idx="171">
                  <c:v>1.3797128969949</c:v>
                </c:pt>
                <c:pt idx="172">
                  <c:v>1.38093682023825</c:v>
                </c:pt>
                <c:pt idx="173">
                  <c:v>1.381753372188</c:v>
                </c:pt>
                <c:pt idx="174">
                  <c:v>1.38216182920611</c:v>
                </c:pt>
                <c:pt idx="175">
                  <c:v>1.38216182920611</c:v>
                </c:pt>
                <c:pt idx="176">
                  <c:v>1.381753372188</c:v>
                </c:pt>
                <c:pt idx="177">
                  <c:v>1.38093682023825</c:v>
                </c:pt>
                <c:pt idx="178">
                  <c:v>1.3797128969949</c:v>
                </c:pt>
                <c:pt idx="179">
                  <c:v>1.37808268657881</c:v>
                </c:pt>
                <c:pt idx="180">
                  <c:v>1.37604763199339</c:v>
                </c:pt>
                <c:pt idx="181">
                  <c:v>1.3736095329959</c:v>
                </c:pt>
                <c:pt idx="182">
                  <c:v>1.37077054344505</c:v>
                </c:pt>
                <c:pt idx="183">
                  <c:v>1.36753316812998</c:v>
                </c:pt>
                <c:pt idx="184">
                  <c:v>1.36390025908747</c:v>
                </c:pt>
                <c:pt idx="185">
                  <c:v>1.35987501141483</c:v>
                </c:pt>
                <c:pt idx="186">
                  <c:v>1.35546095858704</c:v>
                </c:pt>
                <c:pt idx="187">
                  <c:v>1.35066196728782</c:v>
                </c:pt>
                <c:pt idx="188">
                  <c:v>1.34548223176521</c:v>
                </c:pt>
                <c:pt idx="189">
                  <c:v>1.33992626772311</c:v>
                </c:pt>
                <c:pt idx="190">
                  <c:v>1.3339989057614</c:v>
                </c:pt>
                <c:pt idx="191">
                  <c:v>1.32770528437774</c:v>
                </c:pt>
                <c:pt idx="192">
                  <c:v>1.32105084254548</c:v>
                </c:pt>
                <c:pt idx="193">
                  <c:v>1.31404131188251</c:v>
                </c:pt>
                <c:pt idx="194">
                  <c:v>1.30668270842697</c:v>
                </c:pt>
                <c:pt idx="195">
                  <c:v>1.29898132403616</c:v>
                </c:pt>
                <c:pt idx="196">
                  <c:v>1.29094371742604</c:v>
                </c:pt>
                <c:pt idx="197">
                  <c:v>1.28257670486906</c:v>
                </c:pt>
                <c:pt idx="198">
                  <c:v>1.27388735056882</c:v>
                </c:pt>
                <c:pt idx="199">
                  <c:v>1.2648829567305</c:v>
                </c:pt>
                <c:pt idx="200">
                  <c:v>1.25557105334675</c:v>
                </c:pt>
                <c:pt idx="201">
                  <c:v>1.24595938771877</c:v>
                </c:pt>
                <c:pt idx="202">
                  <c:v>1.23605591373317</c:v>
                </c:pt>
                <c:pt idx="203">
                  <c:v>1.22586878091525</c:v>
                </c:pt>
                <c:pt idx="204">
                  <c:v>1.21540632327977</c:v>
                </c:pt>
                <c:pt idx="205">
                  <c:v>1.20467704800047</c:v>
                </c:pt>
                <c:pt idx="206">
                  <c:v>1.1936896239199</c:v>
                </c:pt>
                <c:pt idx="207">
                  <c:v>1.18245286992116</c:v>
                </c:pt>
                <c:pt idx="208">
                  <c:v>1.1709757431833</c:v>
                </c:pt>
                <c:pt idx="209">
                  <c:v>1.15926732734217</c:v>
                </c:pt>
                <c:pt idx="210">
                  <c:v>1.14733682057851</c:v>
                </c:pt>
                <c:pt idx="211">
                  <c:v>1.13519352365498</c:v>
                </c:pt>
                <c:pt idx="212">
                  <c:v>1.1228468279238</c:v>
                </c:pt>
                <c:pt idx="213">
                  <c:v>1.11030620332631</c:v>
                </c:pt>
                <c:pt idx="214">
                  <c:v>1.0975811864059</c:v>
                </c:pt>
                <c:pt idx="215">
                  <c:v>1.08468136835513</c:v>
                </c:pt>
                <c:pt idx="216">
                  <c:v>1.07161638311784</c:v>
                </c:pt>
                <c:pt idx="217">
                  <c:v>1.05839589556649</c:v>
                </c:pt>
                <c:pt idx="218">
                  <c:v>1.04502958977478</c:v>
                </c:pt>
                <c:pt idx="219">
                  <c:v>1.03152715740503</c:v>
                </c:pt>
                <c:pt idx="220">
                  <c:v>1.01789828622932</c:v>
                </c:pt>
                <c:pt idx="221">
                  <c:v>1.00415264880302</c:v>
                </c:pt>
                <c:pt idx="222">
                  <c:v>0.990299891308565</c:v>
                </c:pt>
                <c:pt idx="223">
                  <c:v>0.976349622587004</c:v>
                </c:pt>
                <c:pt idx="224">
                  <c:v>0.962311403374002</c:v>
                </c:pt>
                <c:pt idx="225">
                  <c:v>0.948194735756473</c:v>
                </c:pt>
                <c:pt idx="226">
                  <c:v>0.934009052865282</c:v>
                </c:pt>
                <c:pt idx="227">
                  <c:v>0.919763708818772</c:v>
                </c:pt>
                <c:pt idx="228">
                  <c:v>0.905467968931121</c:v>
                </c:pt>
                <c:pt idx="229">
                  <c:v>0.891131000198815</c:v>
                </c:pt>
                <c:pt idx="230">
                  <c:v>0.876761862077706</c:v>
                </c:pt>
                <c:pt idx="231">
                  <c:v>0.862369497562395</c:v>
                </c:pt>
                <c:pt idx="232">
                  <c:v>0.847962724578813</c:v>
                </c:pt>
                <c:pt idx="233">
                  <c:v>0.833550227700105</c:v>
                </c:pt>
                <c:pt idx="234">
                  <c:v>0.819140550195072</c:v>
                </c:pt>
                <c:pt idx="235">
                  <c:v>0.804742086417589</c:v>
                </c:pt>
                <c:pt idx="236">
                  <c:v>0.790363074544585</c:v>
                </c:pt>
                <c:pt idx="237">
                  <c:v>0.776011589669332</c:v>
                </c:pt>
                <c:pt idx="238">
                  <c:v>0.761695537255914</c:v>
                </c:pt>
                <c:pt idx="239">
                  <c:v>0.747422646959949</c:v>
                </c:pt>
                <c:pt idx="240">
                  <c:v>0.733200466819746</c:v>
                </c:pt>
                <c:pt idx="241">
                  <c:v>0.719036357821281</c:v>
                </c:pt>
                <c:pt idx="242">
                  <c:v>0.704937488839535</c:v>
                </c:pt>
                <c:pt idx="243">
                  <c:v>0.690910831957898</c:v>
                </c:pt>
                <c:pt idx="244">
                  <c:v>0.67696315816658</c:v>
                </c:pt>
                <c:pt idx="245">
                  <c:v>0.663101033440127</c:v>
                </c:pt>
                <c:pt idx="246">
                  <c:v>0.649330815193395</c:v>
                </c:pt>
                <c:pt idx="247">
                  <c:v>0.635658649114563</c:v>
                </c:pt>
                <c:pt idx="248">
                  <c:v>0.622090466373015</c:v>
                </c:pt>
                <c:pt idx="249">
                  <c:v>0.608631981199215</c:v>
                </c:pt>
                <c:pt idx="250">
                  <c:v>0.595288688832984</c:v>
                </c:pt>
                <c:pt idx="251">
                  <c:v>0.582065863835909</c:v>
                </c:pt>
                <c:pt idx="252">
                  <c:v>0.568968558762982</c:v>
                </c:pt>
                <c:pt idx="253">
                  <c:v>0.556001603187908</c:v>
                </c:pt>
                <c:pt idx="254">
                  <c:v>0.543169603075942</c:v>
                </c:pt>
                <c:pt idx="255">
                  <c:v>0.530476940497545</c:v>
                </c:pt>
                <c:pt idx="256">
                  <c:v>0.517927773675571</c:v>
                </c:pt>
                <c:pt idx="257">
                  <c:v>0.505526037358236</c:v>
                </c:pt>
                <c:pt idx="258">
                  <c:v>0.493275443509574</c:v>
                </c:pt>
                <c:pt idx="259">
                  <c:v>0.481179482308688</c:v>
                </c:pt>
                <c:pt idx="260">
                  <c:v>0.469241423448632</c:v>
                </c:pt>
                <c:pt idx="261">
                  <c:v>0.457464317725397</c:v>
                </c:pt>
                <c:pt idx="262">
                  <c:v>0.445850998907114</c:v>
                </c:pt>
                <c:pt idx="263">
                  <c:v>0.434404085873237</c:v>
                </c:pt>
                <c:pt idx="264">
                  <c:v>0.423125985013189</c:v>
                </c:pt>
                <c:pt idx="265">
                  <c:v>0.412018892873698</c:v>
                </c:pt>
                <c:pt idx="266">
                  <c:v>0.401084799043792</c:v>
                </c:pt>
                <c:pt idx="267">
                  <c:v>0.390325489266249</c:v>
                </c:pt>
                <c:pt idx="268">
                  <c:v>0.379742548764096</c:v>
                </c:pt>
                <c:pt idx="269">
                  <c:v>0.36933736577066</c:v>
                </c:pt>
                <c:pt idx="270">
                  <c:v>0.359111135251508</c:v>
                </c:pt>
                <c:pt idx="271">
                  <c:v>0.349064862806593</c:v>
                </c:pt>
                <c:pt idx="272">
                  <c:v>0.339199368740818</c:v>
                </c:pt>
                <c:pt idx="273">
                  <c:v>0.329515292291269</c:v>
                </c:pt>
                <c:pt idx="274">
                  <c:v>0.320013095999322</c:v>
                </c:pt>
                <c:pt idx="275">
                  <c:v>0.310693070215902</c:v>
                </c:pt>
                <c:pt idx="276">
                  <c:v>0.301555337728216</c:v>
                </c:pt>
                <c:pt idx="277">
                  <c:v>0.292599858496379</c:v>
                </c:pt>
                <c:pt idx="278">
                  <c:v>0.28382643448845</c:v>
                </c:pt>
                <c:pt idx="279">
                  <c:v>0.275234714602545</c:v>
                </c:pt>
                <c:pt idx="280">
                  <c:v>0.26682419966485</c:v>
                </c:pt>
                <c:pt idx="281">
                  <c:v>0.258594247492518</c:v>
                </c:pt>
                <c:pt idx="282">
                  <c:v>0.250544078010663</c:v>
                </c:pt>
                <c:pt idx="283">
                  <c:v>0.242672778412853</c:v>
                </c:pt>
                <c:pt idx="284">
                  <c:v>0.234979308354759</c:v>
                </c:pt>
                <c:pt idx="285">
                  <c:v>0.22746250517087</c:v>
                </c:pt>
                <c:pt idx="286">
                  <c:v>0.220121089104434</c:v>
                </c:pt>
                <c:pt idx="287">
                  <c:v>0.212953668541097</c:v>
                </c:pt>
                <c:pt idx="288">
                  <c:v>0.20595874523698</c:v>
                </c:pt>
                <c:pt idx="289">
                  <c:v>0.199134719532261</c:v>
                </c:pt>
                <c:pt idx="290">
                  <c:v>0.192479895541648</c:v>
                </c:pt>
                <c:pt idx="291">
                  <c:v>0.185992486313435</c:v>
                </c:pt>
                <c:pt idx="292">
                  <c:v>0.179670618949214</c:v>
                </c:pt>
                <c:pt idx="293">
                  <c:v>0.173512339676602</c:v>
                </c:pt>
                <c:pt idx="294">
                  <c:v>0.167515618867761</c:v>
                </c:pt>
                <c:pt idx="295">
                  <c:v>0.161678355996774</c:v>
                </c:pt>
                <c:pt idx="296">
                  <c:v>0.155998384529362</c:v>
                </c:pt>
                <c:pt idx="297">
                  <c:v>0.150473476738749</c:v>
                </c:pt>
                <c:pt idx="298">
                  <c:v>0.14510134844186</c:v>
                </c:pt>
                <c:pt idx="299">
                  <c:v>0.139879663650408</c:v>
                </c:pt>
                <c:pt idx="300">
                  <c:v>0.134806039131784</c:v>
                </c:pt>
                <c:pt idx="301">
                  <c:v>0.12987804887502</c:v>
                </c:pt>
                <c:pt idx="302">
                  <c:v>0.125093228457484</c:v>
                </c:pt>
                <c:pt idx="303">
                  <c:v>0.12044907930829</c:v>
                </c:pt>
                <c:pt idx="304">
                  <c:v>0.115943072864789</c:v>
                </c:pt>
                <c:pt idx="305">
                  <c:v>0.111572654618842</c:v>
                </c:pt>
                <c:pt idx="306">
                  <c:v>0.107335248049933</c:v>
                </c:pt>
                <c:pt idx="307">
                  <c:v>0.103228258442507</c:v>
                </c:pt>
                <c:pt idx="308">
                  <c:v>0.0992490765852572</c:v>
                </c:pt>
                <c:pt idx="309">
                  <c:v>0.0953950823504209</c:v>
                </c:pt>
                <c:pt idx="310">
                  <c:v>0.0916636481514382</c:v>
                </c:pt>
                <c:pt idx="311">
                  <c:v>0.0880521422776596</c:v>
                </c:pt>
                <c:pt idx="312">
                  <c:v>0.0845579321050778</c:v>
                </c:pt>
                <c:pt idx="313">
                  <c:v>0.081178387182351</c:v>
                </c:pt>
                <c:pt idx="314">
                  <c:v>0.0779108821916689</c:v>
                </c:pt>
                <c:pt idx="315">
                  <c:v>0.0747527997842836</c:v>
                </c:pt>
                <c:pt idx="316">
                  <c:v>0.0717015332907872</c:v>
                </c:pt>
                <c:pt idx="317">
                  <c:v>0.0687544893064711</c:v>
                </c:pt>
                <c:pt idx="318">
                  <c:v>0.0659090901523369</c:v>
                </c:pt>
                <c:pt idx="319">
                  <c:v>0.0631627762125643</c:v>
                </c:pt>
                <c:pt idx="320">
                  <c:v>0.0605130081494524</c:v>
                </c:pt>
                <c:pt idx="321">
                  <c:v>0.0579572689970596</c:v>
                </c:pt>
                <c:pt idx="322">
                  <c:v>0.0554930661349639</c:v>
                </c:pt>
                <c:pt idx="323">
                  <c:v>0.0531179331437443</c:v>
                </c:pt>
                <c:pt idx="324">
                  <c:v>0.0508294315439605</c:v>
                </c:pt>
                <c:pt idx="325">
                  <c:v>0.0486251524205661</c:v>
                </c:pt>
                <c:pt idx="326">
                  <c:v>0.0465027179348394</c:v>
                </c:pt>
                <c:pt idx="327">
                  <c:v>0.0444597827260565</c:v>
                </c:pt>
                <c:pt idx="328">
                  <c:v>0.0424940352052563</c:v>
                </c:pt>
                <c:pt idx="329">
                  <c:v>0.0406031987435628</c:v>
                </c:pt>
                <c:pt idx="330">
                  <c:v>0.0387850327576373</c:v>
                </c:pt>
                <c:pt idx="331">
                  <c:v>0.0370373336949261</c:v>
                </c:pt>
                <c:pt idx="332">
                  <c:v>0.0353579359214552</c:v>
                </c:pt>
                <c:pt idx="333">
                  <c:v>0.0337447125149947</c:v>
                </c:pt>
                <c:pt idx="334">
                  <c:v>0.0321955759664848</c:v>
                </c:pt>
                <c:pt idx="335">
                  <c:v>0.0307084787926658</c:v>
                </c:pt>
                <c:pt idx="336">
                  <c:v>0.0292814140629022</c:v>
                </c:pt>
                <c:pt idx="337">
                  <c:v>0.0279124158432271</c:v>
                </c:pt>
                <c:pt idx="338">
                  <c:v>0.0265995595606614</c:v>
                </c:pt>
                <c:pt idx="339">
                  <c:v>0.0253409622908801</c:v>
                </c:pt>
                <c:pt idx="340">
                  <c:v>0.0241347829723132</c:v>
                </c:pt>
                <c:pt idx="341">
                  <c:v>0.0229792225497683</c:v>
                </c:pt>
                <c:pt idx="342">
                  <c:v>0.0218725240506616</c:v>
                </c:pt>
                <c:pt idx="343">
                  <c:v>0.0208129725969321</c:v>
                </c:pt>
                <c:pt idx="344">
                  <c:v>0.0197988953556984</c:v>
                </c:pt>
                <c:pt idx="345">
                  <c:v>0.018828661431692</c:v>
                </c:pt>
                <c:pt idx="346">
                  <c:v>0.0179006817044741</c:v>
                </c:pt>
                <c:pt idx="347">
                  <c:v>0.0170134086134068</c:v>
                </c:pt>
                <c:pt idx="348">
                  <c:v>0.0161653358933106</c:v>
                </c:pt>
                <c:pt idx="349">
                  <c:v>0.0153549982636956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879860"/>
        <c:axId val="70488632"/>
      </c:lineChart>
      <c:catAx>
        <c:axId val="748798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488632"/>
        <c:crosses val="autoZero"/>
        <c:auto val="1"/>
        <c:lblAlgn val="ctr"/>
        <c:lblOffset val="100"/>
        <c:noMultiLvlLbl val="0"/>
      </c:catAx>
      <c:valAx>
        <c:axId val="704886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8798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Функция распределения для k=350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'k=350'!$J$2:$J$351</c:f>
              <c:numCache>
                <c:formatCode>General</c:formatCode>
                <c:ptCount val="350"/>
                <c:pt idx="0">
                  <c:v>0.00134989803163009</c:v>
                </c:pt>
                <c:pt idx="1">
                  <c:v>0.00142808542899446</c:v>
                </c:pt>
                <c:pt idx="2">
                  <c:v>0.00151038678465356</c:v>
                </c:pt>
                <c:pt idx="3">
                  <c:v>0.00159699296045115</c:v>
                </c:pt>
                <c:pt idx="4">
                  <c:v>0.00168810219056917</c:v>
                </c:pt>
                <c:pt idx="5">
                  <c:v>0.00178392028568536</c:v>
                </c:pt>
                <c:pt idx="6">
                  <c:v>0.00188466083855895</c:v>
                </c:pt>
                <c:pt idx="7">
                  <c:v>0.00199054543080687</c:v>
                </c:pt>
                <c:pt idx="8">
                  <c:v>0.00210180384061852</c:v>
                </c:pt>
                <c:pt idx="9">
                  <c:v>0.00221867425114254</c:v>
                </c:pt>
                <c:pt idx="10">
                  <c:v>0.00234140345926416</c:v>
                </c:pt>
                <c:pt idx="11">
                  <c:v>0.0024702470844766</c:v>
                </c:pt>
                <c:pt idx="12">
                  <c:v>0.0026054697775351</c:v>
                </c:pt>
                <c:pt idx="13">
                  <c:v>0.00274734542856675</c:v>
                </c:pt>
                <c:pt idx="14">
                  <c:v>0.00289615737429407</c:v>
                </c:pt>
                <c:pt idx="15">
                  <c:v>0.00305219860401501</c:v>
                </c:pt>
                <c:pt idx="16">
                  <c:v>0.00321577196396654</c:v>
                </c:pt>
                <c:pt idx="17">
                  <c:v>0.00338719035968404</c:v>
                </c:pt>
                <c:pt idx="18">
                  <c:v>0.00356677695595316</c:v>
                </c:pt>
                <c:pt idx="19">
                  <c:v>0.00375486537393587</c:v>
                </c:pt>
                <c:pt idx="20">
                  <c:v>0.00395179988503762</c:v>
                </c:pt>
                <c:pt idx="21">
                  <c:v>0.0041579356010675</c:v>
                </c:pt>
                <c:pt idx="22">
                  <c:v>0.00437363866022915</c:v>
                </c:pt>
                <c:pt idx="23">
                  <c:v>0.00459928640846575</c:v>
                </c:pt>
                <c:pt idx="24">
                  <c:v>0.00483526757566862</c:v>
                </c:pt>
                <c:pt idx="25">
                  <c:v>0.00508198244624569</c:v>
                </c:pt>
                <c:pt idx="26">
                  <c:v>0.00533984302353285</c:v>
                </c:pt>
                <c:pt idx="27">
                  <c:v>0.00560927318751885</c:v>
                </c:pt>
                <c:pt idx="28">
                  <c:v>0.00589070884534248</c:v>
                </c:pt>
                <c:pt idx="29">
                  <c:v>0.00618459807400917</c:v>
                </c:pt>
                <c:pt idx="30">
                  <c:v>0.00649140125476396</c:v>
                </c:pt>
                <c:pt idx="31">
                  <c:v>0.00681159119854704</c:v>
                </c:pt>
                <c:pt idx="32">
                  <c:v>0.00714565326194985</c:v>
                </c:pt>
                <c:pt idx="33">
                  <c:v>0.00749408545308019</c:v>
                </c:pt>
                <c:pt idx="34">
                  <c:v>0.00785739852673839</c:v>
                </c:pt>
                <c:pt idx="35">
                  <c:v>0.00823611606829926</c:v>
                </c:pt>
                <c:pt idx="36">
                  <c:v>0.00863077456568919</c:v>
                </c:pt>
                <c:pt idx="37">
                  <c:v>0.00904192346884352</c:v>
                </c:pt>
                <c:pt idx="38">
                  <c:v>0.00947012523602535</c:v>
                </c:pt>
                <c:pt idx="39">
                  <c:v>0.00991595536638527</c:v>
                </c:pt>
                <c:pt idx="40">
                  <c:v>0.0103800024181399</c:v>
                </c:pt>
                <c:pt idx="41">
                  <c:v>0.0108628680117482</c:v>
                </c:pt>
                <c:pt idx="42">
                  <c:v>0.0113651668174646</c:v>
                </c:pt>
                <c:pt idx="43">
                  <c:v>0.0118875265266528</c:v>
                </c:pt>
                <c:pt idx="44">
                  <c:v>0.0124305878062469</c:v>
                </c:pt>
                <c:pt idx="45">
                  <c:v>0.0129950042357529</c:v>
                </c:pt>
                <c:pt idx="46">
                  <c:v>0.0135814422261919</c:v>
                </c:pt>
                <c:pt idx="47">
                  <c:v>0.0141905809203921</c:v>
                </c:pt>
                <c:pt idx="48">
                  <c:v>0.0148231120740521</c:v>
                </c:pt>
                <c:pt idx="49">
                  <c:v>0.0154797399170053</c:v>
                </c:pt>
                <c:pt idx="50">
                  <c:v>0.0161611809941317</c:v>
                </c:pt>
                <c:pt idx="51">
                  <c:v>0.0168681639853789</c:v>
                </c:pt>
                <c:pt idx="52">
                  <c:v>0.0176014295043693</c:v>
                </c:pt>
                <c:pt idx="53">
                  <c:v>0.0183617298750919</c:v>
                </c:pt>
                <c:pt idx="54">
                  <c:v>0.0191498288861965</c:v>
                </c:pt>
                <c:pt idx="55">
                  <c:v>0.0199665015224303</c:v>
                </c:pt>
                <c:pt idx="56">
                  <c:v>0.0208125336727829</c:v>
                </c:pt>
                <c:pt idx="57">
                  <c:v>0.0216887218149291</c:v>
                </c:pt>
                <c:pt idx="58">
                  <c:v>0.0225958726755907</c:v>
                </c:pt>
                <c:pt idx="59">
                  <c:v>0.0235348028664638</c:v>
                </c:pt>
                <c:pt idx="60">
                  <c:v>0.0245063384953931</c:v>
                </c:pt>
                <c:pt idx="61">
                  <c:v>0.025511314752507</c:v>
                </c:pt>
                <c:pt idx="62">
                  <c:v>0.0265505754710615</c:v>
                </c:pt>
                <c:pt idx="63">
                  <c:v>0.0276249726627793</c:v>
                </c:pt>
                <c:pt idx="64">
                  <c:v>0.028735366027508</c:v>
                </c:pt>
                <c:pt idx="65">
                  <c:v>0.0298826224370624</c:v>
                </c:pt>
                <c:pt idx="66">
                  <c:v>0.0310676153931561</c:v>
                </c:pt>
                <c:pt idx="67">
                  <c:v>0.0322912244593755</c:v>
                </c:pt>
                <c:pt idx="68">
                  <c:v>0.0335543346671871</c:v>
                </c:pt>
                <c:pt idx="69">
                  <c:v>0.0348578358960247</c:v>
                </c:pt>
                <c:pt idx="70">
                  <c:v>0.0362026222275426</c:v>
                </c:pt>
                <c:pt idx="71">
                  <c:v>0.0375895912741762</c:v>
                </c:pt>
                <c:pt idx="72">
                  <c:v>0.0390196434821996</c:v>
                </c:pt>
                <c:pt idx="73">
                  <c:v>0.0404936814095224</c:v>
                </c:pt>
                <c:pt idx="74">
                  <c:v>0.0420126089785198</c:v>
                </c:pt>
                <c:pt idx="75">
                  <c:v>0.0435773307042474</c:v>
                </c:pt>
                <c:pt idx="76">
                  <c:v>0.0451887508984425</c:v>
                </c:pt>
                <c:pt idx="77">
                  <c:v>0.0468477728497735</c:v>
                </c:pt>
                <c:pt idx="78">
                  <c:v>0.0485552979808539</c:v>
                </c:pt>
                <c:pt idx="79">
                  <c:v>0.0503122249825949</c:v>
                </c:pt>
                <c:pt idx="80">
                  <c:v>0.0521194489265276</c:v>
                </c:pt>
                <c:pt idx="81">
                  <c:v>0.0539778603557865</c:v>
                </c:pt>
                <c:pt idx="82">
                  <c:v>0.0558883443554991</c:v>
                </c:pt>
                <c:pt idx="83">
                  <c:v>0.057851779603392</c:v>
                </c:pt>
                <c:pt idx="84">
                  <c:v>0.0598690374014758</c:v>
                </c:pt>
                <c:pt idx="85">
                  <c:v>0.0619409806897327</c:v>
                </c:pt>
                <c:pt idx="86">
                  <c:v>0.0640684630427881</c:v>
                </c:pt>
                <c:pt idx="87">
                  <c:v>0.0662523276506052</c:v>
                </c:pt>
                <c:pt idx="88">
                  <c:v>0.0684934062842971</c:v>
                </c:pt>
                <c:pt idx="89">
                  <c:v>0.0707925182482086</c:v>
                </c:pt>
                <c:pt idx="90">
                  <c:v>0.0731504693194745</c:v>
                </c:pt>
                <c:pt idx="91">
                  <c:v>0.0755680506763146</c:v>
                </c:pt>
                <c:pt idx="92">
                  <c:v>0.0780460378163798</c:v>
                </c:pt>
                <c:pt idx="93">
                  <c:v>0.0805851894665143</c:v>
                </c:pt>
                <c:pt idx="94">
                  <c:v>0.0831862464853488</c:v>
                </c:pt>
                <c:pt idx="95">
                  <c:v>0.0858499307601878</c:v>
                </c:pt>
                <c:pt idx="96">
                  <c:v>0.0885769440997014</c:v>
                </c:pt>
                <c:pt idx="97">
                  <c:v>0.0913679671239751</c:v>
                </c:pt>
                <c:pt idx="98">
                  <c:v>0.0942236581535139</c:v>
                </c:pt>
                <c:pt idx="99">
                  <c:v>0.0971446520988364</c:v>
                </c:pt>
                <c:pt idx="100">
                  <c:v>0.100131559352333</c:v>
                </c:pt>
                <c:pt idx="101">
                  <c:v>0.103184964684094</c:v>
                </c:pt>
                <c:pt idx="102">
                  <c:v>0.106305426143453</c:v>
                </c:pt>
                <c:pt idx="103">
                  <c:v>0.109493473968006</c:v>
                </c:pt>
                <c:pt idx="104">
                  <c:v>0.112749609501909</c:v>
                </c:pt>
                <c:pt idx="105">
                  <c:v>0.116074304125269</c:v>
                </c:pt>
                <c:pt idx="106">
                  <c:v>0.11946799819646</c:v>
                </c:pt>
                <c:pt idx="107">
                  <c:v>0.122931100009235</c:v>
                </c:pt>
                <c:pt idx="108">
                  <c:v>0.126463984766471</c:v>
                </c:pt>
                <c:pt idx="109">
                  <c:v>0.130066993572452</c:v>
                </c:pt>
                <c:pt idx="110">
                  <c:v>0.133740432445548</c:v>
                </c:pt>
                <c:pt idx="111">
                  <c:v>0.137484571353182</c:v>
                </c:pt>
                <c:pt idx="112">
                  <c:v>0.141299643270964</c:v>
                </c:pt>
                <c:pt idx="113">
                  <c:v>0.145185843267851</c:v>
                </c:pt>
                <c:pt idx="114">
                  <c:v>0.149143327619217</c:v>
                </c:pt>
                <c:pt idx="115">
                  <c:v>0.153172212949659</c:v>
                </c:pt>
                <c:pt idx="116">
                  <c:v>0.157272575407381</c:v>
                </c:pt>
                <c:pt idx="117">
                  <c:v>0.161444449871945</c:v>
                </c:pt>
                <c:pt idx="118">
                  <c:v>0.165687829197195</c:v>
                </c:pt>
                <c:pt idx="119">
                  <c:v>0.170002663491068</c:v>
                </c:pt>
                <c:pt idx="120">
                  <c:v>0.174388859434021</c:v>
                </c:pt>
                <c:pt idx="121">
                  <c:v>0.178846279637754</c:v>
                </c:pt>
                <c:pt idx="122">
                  <c:v>0.183374742045828</c:v>
                </c:pt>
                <c:pt idx="123">
                  <c:v>0.18797401937779</c:v>
                </c:pt>
                <c:pt idx="124">
                  <c:v>0.192643838618307</c:v>
                </c:pt>
                <c:pt idx="125">
                  <c:v>0.197383880552796</c:v>
                </c:pt>
                <c:pt idx="126">
                  <c:v>0.202193779350954</c:v>
                </c:pt>
                <c:pt idx="127">
                  <c:v>0.207073122199541</c:v>
                </c:pt>
                <c:pt idx="128">
                  <c:v>0.212021448985683</c:v>
                </c:pt>
                <c:pt idx="129">
                  <c:v>0.217038252031922</c:v>
                </c:pt>
                <c:pt idx="130">
                  <c:v>0.222122975884131</c:v>
                </c:pt>
                <c:pt idx="131">
                  <c:v>0.227275017153357</c:v>
                </c:pt>
                <c:pt idx="132">
                  <c:v>0.232493724412561</c:v>
                </c:pt>
                <c:pt idx="133">
                  <c:v>0.237778398149148</c:v>
                </c:pt>
                <c:pt idx="134">
                  <c:v>0.243128290774082</c:v>
                </c:pt>
                <c:pt idx="135">
                  <c:v>0.248542606688302</c:v>
                </c:pt>
                <c:pt idx="136">
                  <c:v>0.254020502407051</c:v>
                </c:pt>
                <c:pt idx="137">
                  <c:v>0.259561086742641</c:v>
                </c:pt>
                <c:pt idx="138">
                  <c:v>0.265163421046085</c:v>
                </c:pt>
                <c:pt idx="139">
                  <c:v>0.270826519507897</c:v>
                </c:pt>
                <c:pt idx="140">
                  <c:v>0.276549349518311</c:v>
                </c:pt>
                <c:pt idx="141">
                  <c:v>0.282330832087015</c:v>
                </c:pt>
                <c:pt idx="142">
                  <c:v>0.28816984232242</c:v>
                </c:pt>
                <c:pt idx="143">
                  <c:v>0.294065209970376</c:v>
                </c:pt>
                <c:pt idx="144">
                  <c:v>0.300015720012126</c:v>
                </c:pt>
                <c:pt idx="145">
                  <c:v>0.306020113321201</c:v>
                </c:pt>
                <c:pt idx="146">
                  <c:v>0.312077087378831</c:v>
                </c:pt>
                <c:pt idx="147">
                  <c:v>0.318185297047358</c:v>
                </c:pt>
                <c:pt idx="148">
                  <c:v>0.324343355401012</c:v>
                </c:pt>
                <c:pt idx="149">
                  <c:v>0.330549834613316</c:v>
                </c:pt>
                <c:pt idx="150">
                  <c:v>0.336803266900274</c:v>
                </c:pt>
                <c:pt idx="151">
                  <c:v>0.343102145518384</c:v>
                </c:pt>
                <c:pt idx="152">
                  <c:v>0.349444925816428</c:v>
                </c:pt>
                <c:pt idx="153">
                  <c:v>0.355830026339869</c:v>
                </c:pt>
                <c:pt idx="154">
                  <c:v>0.362255829986603</c:v>
                </c:pt>
                <c:pt idx="155">
                  <c:v>0.368720685212684</c:v>
                </c:pt>
                <c:pt idx="156">
                  <c:v>0.375222907286588</c:v>
                </c:pt>
                <c:pt idx="157">
                  <c:v>0.381760779590433</c:v>
                </c:pt>
                <c:pt idx="158">
                  <c:v>0.388332554966522</c:v>
                </c:pt>
                <c:pt idx="159">
                  <c:v>0.394936457107462</c:v>
                </c:pt>
                <c:pt idx="160">
                  <c:v>0.401570681988036</c:v>
                </c:pt>
                <c:pt idx="161">
                  <c:v>0.40823339933691</c:v>
                </c:pt>
                <c:pt idx="162">
                  <c:v>0.414922754146203</c:v>
                </c:pt>
                <c:pt idx="163">
                  <c:v>0.421636868216823</c:v>
                </c:pt>
                <c:pt idx="164">
                  <c:v>0.42837384173746</c:v>
                </c:pt>
                <c:pt idx="165">
                  <c:v>0.435131754895008</c:v>
                </c:pt>
                <c:pt idx="166">
                  <c:v>0.441908669514154</c:v>
                </c:pt>
                <c:pt idx="167">
                  <c:v>0.448702630723797</c:v>
                </c:pt>
                <c:pt idx="168">
                  <c:v>0.45551166864792</c:v>
                </c:pt>
                <c:pt idx="169">
                  <c:v>0.462333800118462</c:v>
                </c:pt>
                <c:pt idx="170">
                  <c:v>0.46916703040773</c:v>
                </c:pt>
                <c:pt idx="171">
                  <c:v>0.476009354977809</c:v>
                </c:pt>
                <c:pt idx="172">
                  <c:v>0.482858761244429</c:v>
                </c:pt>
                <c:pt idx="173">
                  <c:v>0.489713230352693</c:v>
                </c:pt>
                <c:pt idx="174">
                  <c:v>0.496570738962059</c:v>
                </c:pt>
                <c:pt idx="175">
                  <c:v>0.503429261037943</c:v>
                </c:pt>
                <c:pt idx="176">
                  <c:v>0.510286769647309</c:v>
                </c:pt>
                <c:pt idx="177">
                  <c:v>0.517141238755572</c:v>
                </c:pt>
                <c:pt idx="178">
                  <c:v>0.523990645022192</c:v>
                </c:pt>
                <c:pt idx="179">
                  <c:v>0.530832969592271</c:v>
                </c:pt>
                <c:pt idx="180">
                  <c:v>0.537666199881539</c:v>
                </c:pt>
                <c:pt idx="181">
                  <c:v>0.544488331352082</c:v>
                </c:pt>
                <c:pt idx="182">
                  <c:v>0.551297369276204</c:v>
                </c:pt>
                <c:pt idx="183">
                  <c:v>0.558091330485848</c:v>
                </c:pt>
                <c:pt idx="184">
                  <c:v>0.564868245104993</c:v>
                </c:pt>
                <c:pt idx="185">
                  <c:v>0.571626158262541</c:v>
                </c:pt>
                <c:pt idx="186">
                  <c:v>0.578363131783178</c:v>
                </c:pt>
                <c:pt idx="187">
                  <c:v>0.585077245853798</c:v>
                </c:pt>
                <c:pt idx="188">
                  <c:v>0.591766600663091</c:v>
                </c:pt>
                <c:pt idx="189">
                  <c:v>0.598429318011966</c:v>
                </c:pt>
                <c:pt idx="190">
                  <c:v>0.605063542892539</c:v>
                </c:pt>
                <c:pt idx="191">
                  <c:v>0.611667445033479</c:v>
                </c:pt>
                <c:pt idx="192">
                  <c:v>0.618239220409568</c:v>
                </c:pt>
                <c:pt idx="193">
                  <c:v>0.624777092713414</c:v>
                </c:pt>
                <c:pt idx="194">
                  <c:v>0.631279314787318</c:v>
                </c:pt>
                <c:pt idx="195">
                  <c:v>0.637744170013399</c:v>
                </c:pt>
                <c:pt idx="196">
                  <c:v>0.644169973660132</c:v>
                </c:pt>
                <c:pt idx="197">
                  <c:v>0.650555074183574</c:v>
                </c:pt>
                <c:pt idx="198">
                  <c:v>0.656897854481617</c:v>
                </c:pt>
                <c:pt idx="199">
                  <c:v>0.663196733099727</c:v>
                </c:pt>
                <c:pt idx="200">
                  <c:v>0.669450165386685</c:v>
                </c:pt>
                <c:pt idx="201">
                  <c:v>0.67565664459899</c:v>
                </c:pt>
                <c:pt idx="202">
                  <c:v>0.681814702952644</c:v>
                </c:pt>
                <c:pt idx="203">
                  <c:v>0.687922912621171</c:v>
                </c:pt>
                <c:pt idx="204">
                  <c:v>0.693979886678801</c:v>
                </c:pt>
                <c:pt idx="205">
                  <c:v>0.699984279987876</c:v>
                </c:pt>
                <c:pt idx="206">
                  <c:v>0.705934790029626</c:v>
                </c:pt>
                <c:pt idx="207">
                  <c:v>0.711830157677581</c:v>
                </c:pt>
                <c:pt idx="208">
                  <c:v>0.717669167912987</c:v>
                </c:pt>
                <c:pt idx="209">
                  <c:v>0.72345065048169</c:v>
                </c:pt>
                <c:pt idx="210">
                  <c:v>0.729173480492105</c:v>
                </c:pt>
                <c:pt idx="211">
                  <c:v>0.734836578953916</c:v>
                </c:pt>
                <c:pt idx="212">
                  <c:v>0.74043891325736</c:v>
                </c:pt>
                <c:pt idx="213">
                  <c:v>0.745979497592951</c:v>
                </c:pt>
                <c:pt idx="214">
                  <c:v>0.751457393311699</c:v>
                </c:pt>
                <c:pt idx="215">
                  <c:v>0.756871709225919</c:v>
                </c:pt>
                <c:pt idx="216">
                  <c:v>0.762221601850853</c:v>
                </c:pt>
                <c:pt idx="217">
                  <c:v>0.76750627558744</c:v>
                </c:pt>
                <c:pt idx="218">
                  <c:v>0.772724982846645</c:v>
                </c:pt>
                <c:pt idx="219">
                  <c:v>0.77787702411587</c:v>
                </c:pt>
                <c:pt idx="220">
                  <c:v>0.782961747968079</c:v>
                </c:pt>
                <c:pt idx="221">
                  <c:v>0.787978551014318</c:v>
                </c:pt>
                <c:pt idx="222">
                  <c:v>0.79292687780046</c:v>
                </c:pt>
                <c:pt idx="223">
                  <c:v>0.797806220649047</c:v>
                </c:pt>
                <c:pt idx="224">
                  <c:v>0.802616119447206</c:v>
                </c:pt>
                <c:pt idx="225">
                  <c:v>0.807356161381694</c:v>
                </c:pt>
                <c:pt idx="226">
                  <c:v>0.812025980622211</c:v>
                </c:pt>
                <c:pt idx="227">
                  <c:v>0.816625257954173</c:v>
                </c:pt>
                <c:pt idx="228">
                  <c:v>0.821153720362247</c:v>
                </c:pt>
                <c:pt idx="229">
                  <c:v>0.82561114056598</c:v>
                </c:pt>
                <c:pt idx="230">
                  <c:v>0.829997336508934</c:v>
                </c:pt>
                <c:pt idx="231">
                  <c:v>0.834312170802806</c:v>
                </c:pt>
                <c:pt idx="232">
                  <c:v>0.838555550128056</c:v>
                </c:pt>
                <c:pt idx="233">
                  <c:v>0.842727424592621</c:v>
                </c:pt>
                <c:pt idx="234">
                  <c:v>0.846827787050342</c:v>
                </c:pt>
                <c:pt idx="235">
                  <c:v>0.850856672380784</c:v>
                </c:pt>
                <c:pt idx="236">
                  <c:v>0.85481415673215</c:v>
                </c:pt>
                <c:pt idx="237">
                  <c:v>0.858700356729037</c:v>
                </c:pt>
                <c:pt idx="238">
                  <c:v>0.862515428646818</c:v>
                </c:pt>
                <c:pt idx="239">
                  <c:v>0.866259567554453</c:v>
                </c:pt>
                <c:pt idx="240">
                  <c:v>0.869933006427549</c:v>
                </c:pt>
                <c:pt idx="241">
                  <c:v>0.87353601523353</c:v>
                </c:pt>
                <c:pt idx="242">
                  <c:v>0.877068899990766</c:v>
                </c:pt>
                <c:pt idx="243">
                  <c:v>0.880532001803541</c:v>
                </c:pt>
                <c:pt idx="244">
                  <c:v>0.883925695874732</c:v>
                </c:pt>
                <c:pt idx="245">
                  <c:v>0.887250390498091</c:v>
                </c:pt>
                <c:pt idx="246">
                  <c:v>0.890506526031994</c:v>
                </c:pt>
                <c:pt idx="247">
                  <c:v>0.893694573856547</c:v>
                </c:pt>
                <c:pt idx="248">
                  <c:v>0.896815035315907</c:v>
                </c:pt>
                <c:pt idx="249">
                  <c:v>0.899868440647668</c:v>
                </c:pt>
                <c:pt idx="250">
                  <c:v>0.902855347901164</c:v>
                </c:pt>
                <c:pt idx="251">
                  <c:v>0.905776341846487</c:v>
                </c:pt>
                <c:pt idx="252">
                  <c:v>0.908632032876026</c:v>
                </c:pt>
                <c:pt idx="253">
                  <c:v>0.911423055900299</c:v>
                </c:pt>
                <c:pt idx="254">
                  <c:v>0.914150069239813</c:v>
                </c:pt>
                <c:pt idx="255">
                  <c:v>0.916813753514652</c:v>
                </c:pt>
                <c:pt idx="256">
                  <c:v>0.919414810533486</c:v>
                </c:pt>
                <c:pt idx="257">
                  <c:v>0.921953962183621</c:v>
                </c:pt>
                <c:pt idx="258">
                  <c:v>0.924431949323686</c:v>
                </c:pt>
                <c:pt idx="259">
                  <c:v>0.926849530680526</c:v>
                </c:pt>
                <c:pt idx="260">
                  <c:v>0.929207481751792</c:v>
                </c:pt>
                <c:pt idx="261">
                  <c:v>0.931506593715703</c:v>
                </c:pt>
                <c:pt idx="262">
                  <c:v>0.933747672349395</c:v>
                </c:pt>
                <c:pt idx="263">
                  <c:v>0.935931536957212</c:v>
                </c:pt>
                <c:pt idx="264">
                  <c:v>0.938059019310268</c:v>
                </c:pt>
                <c:pt idx="265">
                  <c:v>0.940130962598525</c:v>
                </c:pt>
                <c:pt idx="266">
                  <c:v>0.942148220396609</c:v>
                </c:pt>
                <c:pt idx="267">
                  <c:v>0.944111655644501</c:v>
                </c:pt>
                <c:pt idx="268">
                  <c:v>0.946022139644214</c:v>
                </c:pt>
                <c:pt idx="269">
                  <c:v>0.947880551073473</c:v>
                </c:pt>
                <c:pt idx="270">
                  <c:v>0.949687775017406</c:v>
                </c:pt>
                <c:pt idx="271">
                  <c:v>0.951444702019147</c:v>
                </c:pt>
                <c:pt idx="272">
                  <c:v>0.953152227150227</c:v>
                </c:pt>
                <c:pt idx="273">
                  <c:v>0.954811249101558</c:v>
                </c:pt>
                <c:pt idx="274">
                  <c:v>0.956422669295753</c:v>
                </c:pt>
                <c:pt idx="275">
                  <c:v>0.957987391021481</c:v>
                </c:pt>
                <c:pt idx="276">
                  <c:v>0.959506318590478</c:v>
                </c:pt>
                <c:pt idx="277">
                  <c:v>0.960980356517801</c:v>
                </c:pt>
                <c:pt idx="278">
                  <c:v>0.962410408725824</c:v>
                </c:pt>
                <c:pt idx="279">
                  <c:v>0.963797377772458</c:v>
                </c:pt>
                <c:pt idx="280">
                  <c:v>0.965142164103976</c:v>
                </c:pt>
                <c:pt idx="281">
                  <c:v>0.966445665332813</c:v>
                </c:pt>
                <c:pt idx="282">
                  <c:v>0.967708775540625</c:v>
                </c:pt>
                <c:pt idx="283">
                  <c:v>0.968932384606844</c:v>
                </c:pt>
                <c:pt idx="284">
                  <c:v>0.970117377562938</c:v>
                </c:pt>
                <c:pt idx="285">
                  <c:v>0.971264633972492</c:v>
                </c:pt>
                <c:pt idx="286">
                  <c:v>0.972375027337221</c:v>
                </c:pt>
                <c:pt idx="287">
                  <c:v>0.973449424528939</c:v>
                </c:pt>
                <c:pt idx="288">
                  <c:v>0.974488685247493</c:v>
                </c:pt>
                <c:pt idx="289">
                  <c:v>0.975493661504607</c:v>
                </c:pt>
                <c:pt idx="290">
                  <c:v>0.976465197133536</c:v>
                </c:pt>
                <c:pt idx="291">
                  <c:v>0.97740412732441</c:v>
                </c:pt>
                <c:pt idx="292">
                  <c:v>0.978311278185071</c:v>
                </c:pt>
                <c:pt idx="293">
                  <c:v>0.979187466327217</c:v>
                </c:pt>
                <c:pt idx="294">
                  <c:v>0.98003349847757</c:v>
                </c:pt>
                <c:pt idx="295">
                  <c:v>0.980850171113804</c:v>
                </c:pt>
                <c:pt idx="296">
                  <c:v>0.981638270124908</c:v>
                </c:pt>
                <c:pt idx="297">
                  <c:v>0.982398570495631</c:v>
                </c:pt>
                <c:pt idx="298">
                  <c:v>0.983131836014621</c:v>
                </c:pt>
                <c:pt idx="299">
                  <c:v>0.983838819005868</c:v>
                </c:pt>
                <c:pt idx="300">
                  <c:v>0.984520260082995</c:v>
                </c:pt>
                <c:pt idx="301">
                  <c:v>0.985176887925948</c:v>
                </c:pt>
                <c:pt idx="302">
                  <c:v>0.985809419079608</c:v>
                </c:pt>
                <c:pt idx="303">
                  <c:v>0.986418557773808</c:v>
                </c:pt>
                <c:pt idx="304">
                  <c:v>0.987004995764247</c:v>
                </c:pt>
                <c:pt idx="305">
                  <c:v>0.987569412193753</c:v>
                </c:pt>
                <c:pt idx="306">
                  <c:v>0.988112473473347</c:v>
                </c:pt>
                <c:pt idx="307">
                  <c:v>0.988634833182536</c:v>
                </c:pt>
                <c:pt idx="308">
                  <c:v>0.989137131988252</c:v>
                </c:pt>
                <c:pt idx="309">
                  <c:v>0.98961999758186</c:v>
                </c:pt>
                <c:pt idx="310">
                  <c:v>0.990084044633615</c:v>
                </c:pt>
                <c:pt idx="311">
                  <c:v>0.990529874763975</c:v>
                </c:pt>
                <c:pt idx="312">
                  <c:v>0.990958076531157</c:v>
                </c:pt>
                <c:pt idx="313">
                  <c:v>0.991369225434311</c:v>
                </c:pt>
                <c:pt idx="314">
                  <c:v>0.991763883931701</c:v>
                </c:pt>
                <c:pt idx="315">
                  <c:v>0.992142601473262</c:v>
                </c:pt>
                <c:pt idx="316">
                  <c:v>0.99250591454692</c:v>
                </c:pt>
                <c:pt idx="317">
                  <c:v>0.99285434673805</c:v>
                </c:pt>
                <c:pt idx="318">
                  <c:v>0.993188408801453</c:v>
                </c:pt>
                <c:pt idx="319">
                  <c:v>0.993508598745236</c:v>
                </c:pt>
                <c:pt idx="320">
                  <c:v>0.993815401925991</c:v>
                </c:pt>
                <c:pt idx="321">
                  <c:v>0.994109291154658</c:v>
                </c:pt>
                <c:pt idx="322">
                  <c:v>0.994390726812481</c:v>
                </c:pt>
                <c:pt idx="323">
                  <c:v>0.994660156976467</c:v>
                </c:pt>
                <c:pt idx="324">
                  <c:v>0.994918017553754</c:v>
                </c:pt>
                <c:pt idx="325">
                  <c:v>0.995164732424332</c:v>
                </c:pt>
                <c:pt idx="326">
                  <c:v>0.995400713591534</c:v>
                </c:pt>
                <c:pt idx="327">
                  <c:v>0.995626361339771</c:v>
                </c:pt>
                <c:pt idx="328">
                  <c:v>0.995842064398933</c:v>
                </c:pt>
                <c:pt idx="329">
                  <c:v>0.996048200114962</c:v>
                </c:pt>
                <c:pt idx="330">
                  <c:v>0.996245134626064</c:v>
                </c:pt>
                <c:pt idx="331">
                  <c:v>0.996433223044047</c:v>
                </c:pt>
                <c:pt idx="332">
                  <c:v>0.996612809640316</c:v>
                </c:pt>
                <c:pt idx="333">
                  <c:v>0.996784228036034</c:v>
                </c:pt>
                <c:pt idx="334">
                  <c:v>0.996947801395985</c:v>
                </c:pt>
                <c:pt idx="335">
                  <c:v>0.997103842625706</c:v>
                </c:pt>
                <c:pt idx="336">
                  <c:v>0.997252654571433</c:v>
                </c:pt>
                <c:pt idx="337">
                  <c:v>0.997394530222465</c:v>
                </c:pt>
                <c:pt idx="338">
                  <c:v>0.997529752915524</c:v>
                </c:pt>
                <c:pt idx="339">
                  <c:v>0.997658596540736</c:v>
                </c:pt>
                <c:pt idx="340">
                  <c:v>0.997781325748858</c:v>
                </c:pt>
                <c:pt idx="341">
                  <c:v>0.997898196159382</c:v>
                </c:pt>
                <c:pt idx="342">
                  <c:v>0.998009454569193</c:v>
                </c:pt>
                <c:pt idx="343">
                  <c:v>0.998115339161441</c:v>
                </c:pt>
                <c:pt idx="344">
                  <c:v>0.998216079714315</c:v>
                </c:pt>
                <c:pt idx="345">
                  <c:v>0.998311897809431</c:v>
                </c:pt>
                <c:pt idx="346">
                  <c:v>0.998403007039549</c:v>
                </c:pt>
                <c:pt idx="347">
                  <c:v>0.998489613215347</c:v>
                </c:pt>
                <c:pt idx="348">
                  <c:v>0.998571914571006</c:v>
                </c:pt>
                <c:pt idx="349">
                  <c:v>0.99865010196837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148505"/>
        <c:axId val="24511993"/>
      </c:lineChart>
      <c:catAx>
        <c:axId val="301485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511993"/>
        <c:crosses val="autoZero"/>
        <c:auto val="1"/>
        <c:lblAlgn val="ctr"/>
        <c:lblOffset val="100"/>
        <c:noMultiLvlLbl val="0"/>
      </c:catAx>
      <c:valAx>
        <c:axId val="245119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1485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244080</xdr:colOff>
      <xdr:row>23</xdr:row>
      <xdr:rowOff>37800</xdr:rowOff>
    </xdr:from>
    <xdr:to>
      <xdr:col>7</xdr:col>
      <xdr:colOff>308880</xdr:colOff>
      <xdr:row>43</xdr:row>
      <xdr:rowOff>115200</xdr:rowOff>
    </xdr:to>
    <xdr:graphicFrame>
      <xdr:nvGraphicFramePr>
        <xdr:cNvPr id="0" name=""/>
        <xdr:cNvGraphicFramePr/>
      </xdr:nvGraphicFramePr>
      <xdr:xfrm>
        <a:off x="244080" y="4065480"/>
        <a:ext cx="5754240" cy="33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362880</xdr:colOff>
      <xdr:row>23</xdr:row>
      <xdr:rowOff>114480</xdr:rowOff>
    </xdr:from>
    <xdr:to>
      <xdr:col>11</xdr:col>
      <xdr:colOff>427320</xdr:colOff>
      <xdr:row>43</xdr:row>
      <xdr:rowOff>96840</xdr:rowOff>
    </xdr:to>
    <xdr:graphicFrame>
      <xdr:nvGraphicFramePr>
        <xdr:cNvPr id="1" name=""/>
        <xdr:cNvGraphicFramePr/>
      </xdr:nvGraphicFramePr>
      <xdr:xfrm>
        <a:off x="6699600" y="4142160"/>
        <a:ext cx="57596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164880</xdr:colOff>
      <xdr:row>53</xdr:row>
      <xdr:rowOff>114480</xdr:rowOff>
    </xdr:from>
    <xdr:to>
      <xdr:col>7</xdr:col>
      <xdr:colOff>229680</xdr:colOff>
      <xdr:row>74</xdr:row>
      <xdr:rowOff>29160</xdr:rowOff>
    </xdr:to>
    <xdr:graphicFrame>
      <xdr:nvGraphicFramePr>
        <xdr:cNvPr id="2" name=""/>
        <xdr:cNvGraphicFramePr/>
      </xdr:nvGraphicFramePr>
      <xdr:xfrm>
        <a:off x="164880" y="9019080"/>
        <a:ext cx="5754240" cy="33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539280</xdr:colOff>
      <xdr:row>53</xdr:row>
      <xdr:rowOff>124560</xdr:rowOff>
    </xdr:from>
    <xdr:to>
      <xdr:col>10</xdr:col>
      <xdr:colOff>769320</xdr:colOff>
      <xdr:row>73</xdr:row>
      <xdr:rowOff>106920</xdr:rowOff>
    </xdr:to>
    <xdr:graphicFrame>
      <xdr:nvGraphicFramePr>
        <xdr:cNvPr id="3" name=""/>
        <xdr:cNvGraphicFramePr/>
      </xdr:nvGraphicFramePr>
      <xdr:xfrm>
        <a:off x="6228720" y="9029160"/>
        <a:ext cx="57596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264600</xdr:colOff>
      <xdr:row>102</xdr:row>
      <xdr:rowOff>18720</xdr:rowOff>
    </xdr:from>
    <xdr:to>
      <xdr:col>6</xdr:col>
      <xdr:colOff>696960</xdr:colOff>
      <xdr:row>122</xdr:row>
      <xdr:rowOff>96120</xdr:rowOff>
    </xdr:to>
    <xdr:graphicFrame>
      <xdr:nvGraphicFramePr>
        <xdr:cNvPr id="4" name=""/>
        <xdr:cNvGraphicFramePr/>
      </xdr:nvGraphicFramePr>
      <xdr:xfrm>
        <a:off x="264600" y="16888680"/>
        <a:ext cx="5754240" cy="33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1081080</xdr:colOff>
      <xdr:row>102</xdr:row>
      <xdr:rowOff>86400</xdr:rowOff>
    </xdr:from>
    <xdr:to>
      <xdr:col>9</xdr:col>
      <xdr:colOff>1476360</xdr:colOff>
      <xdr:row>122</xdr:row>
      <xdr:rowOff>68760</xdr:rowOff>
    </xdr:to>
    <xdr:graphicFrame>
      <xdr:nvGraphicFramePr>
        <xdr:cNvPr id="5" name=""/>
        <xdr:cNvGraphicFramePr/>
      </xdr:nvGraphicFramePr>
      <xdr:xfrm>
        <a:off x="6402960" y="16956360"/>
        <a:ext cx="57596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165960</xdr:colOff>
      <xdr:row>151</xdr:row>
      <xdr:rowOff>121680</xdr:rowOff>
    </xdr:from>
    <xdr:to>
      <xdr:col>6</xdr:col>
      <xdr:colOff>598320</xdr:colOff>
      <xdr:row>172</xdr:row>
      <xdr:rowOff>36360</xdr:rowOff>
    </xdr:to>
    <xdr:graphicFrame>
      <xdr:nvGraphicFramePr>
        <xdr:cNvPr id="6" name=""/>
        <xdr:cNvGraphicFramePr/>
      </xdr:nvGraphicFramePr>
      <xdr:xfrm>
        <a:off x="165960" y="25130520"/>
        <a:ext cx="5754240" cy="33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884160</xdr:colOff>
      <xdr:row>151</xdr:row>
      <xdr:rowOff>124200</xdr:rowOff>
    </xdr:from>
    <xdr:to>
      <xdr:col>9</xdr:col>
      <xdr:colOff>1279440</xdr:colOff>
      <xdr:row>171</xdr:row>
      <xdr:rowOff>106560</xdr:rowOff>
    </xdr:to>
    <xdr:graphicFrame>
      <xdr:nvGraphicFramePr>
        <xdr:cNvPr id="7" name=""/>
        <xdr:cNvGraphicFramePr/>
      </xdr:nvGraphicFramePr>
      <xdr:xfrm>
        <a:off x="6206040" y="25133040"/>
        <a:ext cx="57596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281160</xdr:colOff>
      <xdr:row>203</xdr:row>
      <xdr:rowOff>81000</xdr:rowOff>
    </xdr:from>
    <xdr:to>
      <xdr:col>6</xdr:col>
      <xdr:colOff>713520</xdr:colOff>
      <xdr:row>223</xdr:row>
      <xdr:rowOff>158400</xdr:rowOff>
    </xdr:to>
    <xdr:graphicFrame>
      <xdr:nvGraphicFramePr>
        <xdr:cNvPr id="8" name=""/>
        <xdr:cNvGraphicFramePr/>
      </xdr:nvGraphicFramePr>
      <xdr:xfrm>
        <a:off x="281160" y="33543000"/>
        <a:ext cx="5754240" cy="33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999360</xdr:colOff>
      <xdr:row>203</xdr:row>
      <xdr:rowOff>83520</xdr:rowOff>
    </xdr:from>
    <xdr:to>
      <xdr:col>9</xdr:col>
      <xdr:colOff>1394640</xdr:colOff>
      <xdr:row>223</xdr:row>
      <xdr:rowOff>65880</xdr:rowOff>
    </xdr:to>
    <xdr:graphicFrame>
      <xdr:nvGraphicFramePr>
        <xdr:cNvPr id="9" name=""/>
        <xdr:cNvGraphicFramePr/>
      </xdr:nvGraphicFramePr>
      <xdr:xfrm>
        <a:off x="6321240" y="33545520"/>
        <a:ext cx="57596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141480</xdr:colOff>
      <xdr:row>278</xdr:row>
      <xdr:rowOff>72720</xdr:rowOff>
    </xdr:from>
    <xdr:to>
      <xdr:col>6</xdr:col>
      <xdr:colOff>573840</xdr:colOff>
      <xdr:row>298</xdr:row>
      <xdr:rowOff>150120</xdr:rowOff>
    </xdr:to>
    <xdr:graphicFrame>
      <xdr:nvGraphicFramePr>
        <xdr:cNvPr id="10" name=""/>
        <xdr:cNvGraphicFramePr/>
      </xdr:nvGraphicFramePr>
      <xdr:xfrm>
        <a:off x="141480" y="45726840"/>
        <a:ext cx="5754240" cy="33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859680</xdr:colOff>
      <xdr:row>278</xdr:row>
      <xdr:rowOff>75240</xdr:rowOff>
    </xdr:from>
    <xdr:to>
      <xdr:col>9</xdr:col>
      <xdr:colOff>1254960</xdr:colOff>
      <xdr:row>298</xdr:row>
      <xdr:rowOff>57600</xdr:rowOff>
    </xdr:to>
    <xdr:graphicFrame>
      <xdr:nvGraphicFramePr>
        <xdr:cNvPr id="11" name=""/>
        <xdr:cNvGraphicFramePr/>
      </xdr:nvGraphicFramePr>
      <xdr:xfrm>
        <a:off x="6181560" y="45729360"/>
        <a:ext cx="57596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141480</xdr:colOff>
      <xdr:row>353</xdr:row>
      <xdr:rowOff>16200</xdr:rowOff>
    </xdr:from>
    <xdr:to>
      <xdr:col>6</xdr:col>
      <xdr:colOff>573840</xdr:colOff>
      <xdr:row>373</xdr:row>
      <xdr:rowOff>93600</xdr:rowOff>
    </xdr:to>
    <xdr:graphicFrame>
      <xdr:nvGraphicFramePr>
        <xdr:cNvPr id="12" name=""/>
        <xdr:cNvGraphicFramePr/>
      </xdr:nvGraphicFramePr>
      <xdr:xfrm>
        <a:off x="141480" y="57862080"/>
        <a:ext cx="5754240" cy="33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1108080</xdr:colOff>
      <xdr:row>353</xdr:row>
      <xdr:rowOff>132840</xdr:rowOff>
    </xdr:from>
    <xdr:to>
      <xdr:col>9</xdr:col>
      <xdr:colOff>1503360</xdr:colOff>
      <xdr:row>373</xdr:row>
      <xdr:rowOff>115200</xdr:rowOff>
    </xdr:to>
    <xdr:graphicFrame>
      <xdr:nvGraphicFramePr>
        <xdr:cNvPr id="13" name=""/>
        <xdr:cNvGraphicFramePr/>
      </xdr:nvGraphicFramePr>
      <xdr:xfrm>
        <a:off x="6429960" y="57978720"/>
        <a:ext cx="57596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1"/>
  <sheetViews>
    <sheetView showFormulas="false" showGridLines="true" showRowColHeaders="true" showZeros="true" rightToLeft="false" tabSelected="true" showOutlineSymbols="true" defaultGridColor="true" view="normal" topLeftCell="A98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29.91"/>
    <col collapsed="false" customWidth="true" hidden="false" outlineLevel="0" max="9" min="9" style="0" width="33.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D1" s="3" t="s">
        <v>2</v>
      </c>
      <c r="E1" s="3" t="s">
        <v>3</v>
      </c>
      <c r="F1" s="2"/>
      <c r="G1" s="2"/>
      <c r="H1" s="3"/>
      <c r="I1" s="1"/>
      <c r="J1" s="1"/>
    </row>
    <row r="2" customFormat="false" ht="12.8" hidden="false" customHeight="false" outlineLevel="0" collapsed="false">
      <c r="A2" s="0" t="n">
        <v>0.59931</v>
      </c>
      <c r="B2" s="0" t="n">
        <v>0.59931</v>
      </c>
      <c r="D2" s="0" t="n">
        <f aca="false">AVERAGE($A$2:A2)</f>
        <v>0.59931</v>
      </c>
      <c r="E2" s="0" t="n">
        <f aca="false">STDEV($A$2,A2)</f>
        <v>0</v>
      </c>
    </row>
    <row r="3" customFormat="false" ht="12.8" hidden="false" customHeight="false" outlineLevel="0" collapsed="false">
      <c r="A3" s="0" t="n">
        <v>0.52672</v>
      </c>
      <c r="B3" s="0" t="n">
        <v>1.12603</v>
      </c>
      <c r="D3" s="0" t="n">
        <f aca="false">AVERAGE($A$2:A3)</f>
        <v>0.563015</v>
      </c>
      <c r="E3" s="0" t="n">
        <f aca="false">STDEV($A$2:A3)</f>
        <v>0.0513288812463315</v>
      </c>
    </row>
    <row r="4" customFormat="false" ht="12.8" hidden="false" customHeight="false" outlineLevel="0" collapsed="false">
      <c r="A4" s="0" t="n">
        <v>0.39169</v>
      </c>
      <c r="B4" s="0" t="n">
        <v>1.51772</v>
      </c>
      <c r="D4" s="0" t="n">
        <f aca="false">AVERAGE($A$2:A4)</f>
        <v>0.505906666666667</v>
      </c>
      <c r="E4" s="0" t="n">
        <f aca="false">STDEV($A$2:A4)</f>
        <v>0.105363239478166</v>
      </c>
    </row>
    <row r="5" customFormat="false" ht="12.8" hidden="false" customHeight="false" outlineLevel="0" collapsed="false">
      <c r="A5" s="0" t="n">
        <v>0.996682</v>
      </c>
      <c r="B5" s="0" t="n">
        <v>2.5144</v>
      </c>
      <c r="D5" s="0" t="n">
        <f aca="false">AVERAGE($A$2:A5)</f>
        <v>0.6286005</v>
      </c>
      <c r="E5" s="0" t="n">
        <f aca="false">STDEV($A$2:A5)</f>
        <v>0.26003086055505</v>
      </c>
    </row>
    <row r="6" customFormat="false" ht="12.8" hidden="false" customHeight="false" outlineLevel="0" collapsed="false">
      <c r="A6" s="0" t="n">
        <v>0.574168</v>
      </c>
      <c r="B6" s="0" t="n">
        <v>3.08857</v>
      </c>
      <c r="D6" s="0" t="n">
        <f aca="false">AVERAGE($A$2:A6)</f>
        <v>0.617714</v>
      </c>
      <c r="E6" s="0" t="n">
        <f aca="false">STDEV($A$2:A6)</f>
        <v>0.226505222328316</v>
      </c>
    </row>
    <row r="7" customFormat="false" ht="12.8" hidden="false" customHeight="false" outlineLevel="0" collapsed="false">
      <c r="A7" s="0" t="n">
        <v>0.51831</v>
      </c>
      <c r="B7" s="0" t="n">
        <v>3.60688</v>
      </c>
      <c r="D7" s="0" t="n">
        <f aca="false">AVERAGE($A$2:A7)</f>
        <v>0.601146666666667</v>
      </c>
      <c r="E7" s="0" t="n">
        <f aca="false">STDEV($A$2:A7)</f>
        <v>0.206616920401662</v>
      </c>
    </row>
    <row r="8" customFormat="false" ht="12.8" hidden="false" customHeight="false" outlineLevel="0" collapsed="false">
      <c r="A8" s="0" t="n">
        <v>0.530825</v>
      </c>
      <c r="B8" s="0" t="n">
        <v>4.13771</v>
      </c>
      <c r="D8" s="0" t="n">
        <f aca="false">AVERAGE($A$2:A8)</f>
        <v>0.591100714285714</v>
      </c>
      <c r="E8" s="0" t="n">
        <f aca="false">STDEV($A$2:A8)</f>
        <v>0.190478103583863</v>
      </c>
    </row>
    <row r="9" customFormat="false" ht="12.8" hidden="false" customHeight="false" outlineLevel="0" collapsed="false">
      <c r="A9" s="0" t="n">
        <v>0.624686</v>
      </c>
      <c r="B9" s="0" t="n">
        <v>4.76239</v>
      </c>
      <c r="D9" s="0" t="n">
        <f aca="false">AVERAGE($A$2:A9)</f>
        <v>0.595298875</v>
      </c>
      <c r="E9" s="0" t="n">
        <f aca="false">STDEV($A$2:A9)</f>
        <v>0.176747771317076</v>
      </c>
    </row>
    <row r="10" customFormat="false" ht="12.8" hidden="false" customHeight="false" outlineLevel="0" collapsed="false">
      <c r="A10" s="0" t="n">
        <v>0.134262</v>
      </c>
      <c r="B10" s="0" t="n">
        <v>4.89665</v>
      </c>
      <c r="D10" s="0" t="n">
        <f aca="false">AVERAGE($A$2:A10)</f>
        <v>0.544072555555556</v>
      </c>
      <c r="E10" s="0" t="n">
        <f aca="false">STDEV($A$2:A10)</f>
        <v>0.225725552533996</v>
      </c>
      <c r="K10" s="0" t="s">
        <v>4</v>
      </c>
    </row>
    <row r="11" customFormat="false" ht="12.8" hidden="false" customHeight="false" outlineLevel="0" collapsed="false">
      <c r="A11" s="0" t="n">
        <v>0.311794</v>
      </c>
      <c r="B11" s="0" t="n">
        <v>5.20845</v>
      </c>
      <c r="D11" s="0" t="n">
        <f aca="false">AVERAGE($A$2:A11)</f>
        <v>0.5208447</v>
      </c>
      <c r="E11" s="0" t="n">
        <f aca="false">STDEV($A$2:A11)</f>
        <v>0.225135562906762</v>
      </c>
    </row>
    <row r="12" customFormat="false" ht="12.8" hidden="false" customHeight="false" outlineLevel="0" collapsed="false">
      <c r="A12" s="0" t="n">
        <v>0.533984</v>
      </c>
      <c r="B12" s="0" t="n">
        <v>5.74243</v>
      </c>
      <c r="D12" s="0" t="n">
        <f aca="false">AVERAGE($A$2:A12)</f>
        <v>0.522039181818182</v>
      </c>
      <c r="E12" s="0" t="n">
        <f aca="false">STDEV($A$2:A12)</f>
        <v>0.213619086627959</v>
      </c>
    </row>
    <row r="13" customFormat="false" ht="12.8" hidden="false" customHeight="false" outlineLevel="0" collapsed="false">
      <c r="A13" s="0" t="n">
        <v>0.440809</v>
      </c>
      <c r="B13" s="0" t="n">
        <v>6.18324</v>
      </c>
      <c r="D13" s="0" t="n">
        <f aca="false">AVERAGE($A$2:A13)</f>
        <v>0.51527</v>
      </c>
      <c r="E13" s="0" t="n">
        <f aca="false">STDEV($A$2:A13)</f>
        <v>0.205023196533731</v>
      </c>
    </row>
    <row r="14" customFormat="false" ht="12.8" hidden="false" customHeight="false" outlineLevel="0" collapsed="false">
      <c r="A14" s="0" t="n">
        <v>0.063503</v>
      </c>
      <c r="B14" s="0" t="n">
        <v>6.24674</v>
      </c>
      <c r="D14" s="0" t="n">
        <f aca="false">AVERAGE($A$2:A14)</f>
        <v>0.480518692307692</v>
      </c>
      <c r="E14" s="0" t="n">
        <f aca="false">STDEV($A$2:A14)</f>
        <v>0.232875780648677</v>
      </c>
    </row>
    <row r="15" customFormat="false" ht="12.8" hidden="false" customHeight="false" outlineLevel="0" collapsed="false">
      <c r="A15" s="0" t="n">
        <v>0.872792</v>
      </c>
      <c r="B15" s="0" t="n">
        <v>7.11953</v>
      </c>
      <c r="D15" s="0" t="n">
        <f aca="false">AVERAGE($A$2:A15)</f>
        <v>0.508538214285714</v>
      </c>
      <c r="E15" s="0" t="n">
        <f aca="false">STDEV($A$2:A15)</f>
        <v>0.247084630147143</v>
      </c>
    </row>
    <row r="16" customFormat="false" ht="12.8" hidden="false" customHeight="false" outlineLevel="0" collapsed="false">
      <c r="A16" s="0" t="n">
        <v>0.224759</v>
      </c>
      <c r="B16" s="0" t="n">
        <v>7.34429</v>
      </c>
      <c r="D16" s="0" t="n">
        <f aca="false">AVERAGE($A$2:A16)</f>
        <v>0.4896196</v>
      </c>
      <c r="E16" s="0" t="n">
        <f aca="false">STDEV($A$2:A16)</f>
        <v>0.249115939857844</v>
      </c>
    </row>
    <row r="17" customFormat="false" ht="12.8" hidden="false" customHeight="false" outlineLevel="0" collapsed="false">
      <c r="A17" s="0" t="n">
        <v>0.202601</v>
      </c>
      <c r="B17" s="0" t="n">
        <v>7.54689</v>
      </c>
      <c r="D17" s="0" t="n">
        <f aca="false">AVERAGE($A$2:A17)</f>
        <v>0.4716809375</v>
      </c>
      <c r="E17" s="0" t="n">
        <f aca="false">STDEV($A$2:A17)</f>
        <v>0.251137872867599</v>
      </c>
    </row>
    <row r="18" customFormat="false" ht="12.8" hidden="false" customHeight="false" outlineLevel="0" collapsed="false">
      <c r="A18" s="0" t="n">
        <v>0.700437</v>
      </c>
      <c r="B18" s="0" t="n">
        <v>8.24733</v>
      </c>
      <c r="D18" s="0" t="n">
        <f aca="false">AVERAGE($A$2:A18)</f>
        <v>0.485137176470588</v>
      </c>
      <c r="E18" s="0" t="n">
        <f aca="false">STDEV($A$2:A18)</f>
        <v>0.249412385382431</v>
      </c>
    </row>
    <row r="19" customFormat="false" ht="12.8" hidden="false" customHeight="false" outlineLevel="0" collapsed="false">
      <c r="A19" s="0" t="n">
        <v>0.488813</v>
      </c>
      <c r="B19" s="0" t="n">
        <v>8.73615</v>
      </c>
      <c r="D19" s="0" t="n">
        <f aca="false">AVERAGE($A$2:A19)</f>
        <v>0.485341388888889</v>
      </c>
      <c r="E19" s="0" t="n">
        <f aca="false">STDEV($A$2:A19)</f>
        <v>0.24196710626523</v>
      </c>
    </row>
    <row r="20" customFormat="false" ht="12.8" hidden="false" customHeight="false" outlineLevel="0" collapsed="false">
      <c r="A20" s="0" t="n">
        <v>0.198562</v>
      </c>
      <c r="B20" s="0" t="n">
        <v>8.93471</v>
      </c>
      <c r="D20" s="0" t="n">
        <f aca="false">AVERAGE($A$2:A20)</f>
        <v>0.470247736842105</v>
      </c>
      <c r="E20" s="0" t="n">
        <f aca="false">STDEV($A$2:A20)</f>
        <v>0.244180174634961</v>
      </c>
    </row>
    <row r="21" customFormat="false" ht="17.35" hidden="false" customHeight="false" outlineLevel="0" collapsed="false">
      <c r="A21" s="4" t="n">
        <v>0.709845</v>
      </c>
      <c r="B21" s="5" t="n">
        <v>9.64455</v>
      </c>
      <c r="C21" s="5"/>
      <c r="D21" s="5" t="n">
        <f aca="false">AVERAGE($A$2:A21)</f>
        <v>0.4822276</v>
      </c>
      <c r="E21" s="6" t="n">
        <f aca="false">STDEV($A$2:A21)</f>
        <v>0.243631272775803</v>
      </c>
    </row>
    <row r="22" customFormat="false" ht="12.8" hidden="false" customHeight="false" outlineLevel="0" collapsed="false">
      <c r="A22" s="0" t="n">
        <v>0.817932</v>
      </c>
      <c r="B22" s="0" t="n">
        <v>10.4625</v>
      </c>
      <c r="D22" s="7" t="n">
        <f aca="false">AVERAGE($A$2:A22)</f>
        <v>0.498213523809524</v>
      </c>
      <c r="E22" s="7" t="n">
        <f aca="false">STDEV($A$2:A22)</f>
        <v>0.248505396684985</v>
      </c>
    </row>
    <row r="23" customFormat="false" ht="12.8" hidden="false" customHeight="false" outlineLevel="0" collapsed="false">
      <c r="A23" s="0" t="n">
        <v>0.0212862</v>
      </c>
      <c r="B23" s="0" t="n">
        <v>10.4838</v>
      </c>
      <c r="D23" s="0" t="n">
        <f aca="false">AVERAGE($A$2:A23)</f>
        <v>0.476535009090909</v>
      </c>
      <c r="E23" s="0" t="n">
        <f aca="false">STDEV($A$2:A23)</f>
        <v>0.262970144948455</v>
      </c>
    </row>
    <row r="24" customFormat="false" ht="12.8" hidden="false" customHeight="false" outlineLevel="0" collapsed="false">
      <c r="A24" s="0" t="n">
        <v>0.944932</v>
      </c>
      <c r="B24" s="0" t="n">
        <v>11.4287</v>
      </c>
      <c r="D24" s="0" t="n">
        <f aca="false">AVERAGE($A$2:A24)</f>
        <v>0.496900095652174</v>
      </c>
      <c r="E24" s="0" t="n">
        <f aca="false">STDEV($A$2:A24)</f>
        <v>0.274861621022638</v>
      </c>
    </row>
    <row r="25" customFormat="false" ht="12.8" hidden="false" customHeight="false" outlineLevel="0" collapsed="false">
      <c r="A25" s="0" t="n">
        <v>0.371683</v>
      </c>
      <c r="B25" s="0" t="n">
        <v>11.8004</v>
      </c>
      <c r="D25" s="0" t="n">
        <f aca="false">AVERAGE($A$2:A25)</f>
        <v>0.491682716666667</v>
      </c>
      <c r="E25" s="0" t="n">
        <f aca="false">STDEV($A$2:A25)</f>
        <v>0.270032369367751</v>
      </c>
    </row>
    <row r="26" customFormat="false" ht="12.8" hidden="false" customHeight="false" outlineLevel="0" collapsed="false">
      <c r="A26" s="0" t="n">
        <v>0.878309</v>
      </c>
      <c r="B26" s="0" t="n">
        <v>12.6787</v>
      </c>
      <c r="D26" s="0" t="n">
        <f aca="false">AVERAGE($A$2:A26)</f>
        <v>0.507147768</v>
      </c>
      <c r="E26" s="0" t="n">
        <f aca="false">STDEV($A$2:A26)</f>
        <v>0.275424122891397</v>
      </c>
    </row>
    <row r="27" customFormat="false" ht="12.8" hidden="false" customHeight="false" outlineLevel="0" collapsed="false">
      <c r="A27" s="0" t="n">
        <v>0.602046</v>
      </c>
      <c r="B27" s="0" t="n">
        <v>13.2807</v>
      </c>
      <c r="D27" s="0" t="n">
        <f aca="false">AVERAGE($A$2:A27)</f>
        <v>0.5107977</v>
      </c>
      <c r="E27" s="0" t="n">
        <f aca="false">STDEV($A$2:A27)</f>
        <v>0.270500428216659</v>
      </c>
    </row>
    <row r="28" customFormat="false" ht="12.8" hidden="false" customHeight="false" outlineLevel="0" collapsed="false">
      <c r="A28" s="0" t="n">
        <v>0.820565</v>
      </c>
      <c r="B28" s="0" t="n">
        <v>14.1013</v>
      </c>
      <c r="D28" s="0" t="n">
        <f aca="false">AVERAGE($A$2:A28)</f>
        <v>0.522270562962963</v>
      </c>
      <c r="E28" s="0" t="n">
        <f aca="false">STDEV($A$2:A28)</f>
        <v>0.27186421271267</v>
      </c>
    </row>
    <row r="29" customFormat="false" ht="12.8" hidden="false" customHeight="false" outlineLevel="0" collapsed="false">
      <c r="A29" s="0" t="n">
        <v>0.101819</v>
      </c>
      <c r="B29" s="0" t="n">
        <v>14.2031</v>
      </c>
      <c r="D29" s="0" t="n">
        <f aca="false">AVERAGE($A$2:A29)</f>
        <v>0.507254435714286</v>
      </c>
      <c r="E29" s="0" t="n">
        <f aca="false">STDEV($A$2:A29)</f>
        <v>0.278363595602182</v>
      </c>
    </row>
    <row r="30" customFormat="false" ht="12.8" hidden="false" customHeight="false" outlineLevel="0" collapsed="false">
      <c r="A30" s="0" t="n">
        <v>0.820174</v>
      </c>
      <c r="B30" s="0" t="n">
        <v>15.0233</v>
      </c>
      <c r="D30" s="0" t="n">
        <f aca="false">AVERAGE($A$2:A30)</f>
        <v>0.518044765517241</v>
      </c>
      <c r="E30" s="0" t="n">
        <f aca="false">STDEV($A$2:A30)</f>
        <v>0.279455594162232</v>
      </c>
    </row>
    <row r="31" customFormat="false" ht="12.8" hidden="false" customHeight="false" outlineLevel="0" collapsed="false">
      <c r="A31" s="0" t="n">
        <v>0.286249</v>
      </c>
      <c r="B31" s="0" t="n">
        <v>15.3095</v>
      </c>
      <c r="D31" s="0" t="n">
        <f aca="false">AVERAGE($A$2:A31)</f>
        <v>0.51031824</v>
      </c>
      <c r="E31" s="0" t="n">
        <f aca="false">STDEV($A$2:A31)</f>
        <v>0.277837109066254</v>
      </c>
    </row>
    <row r="32" customFormat="false" ht="12.8" hidden="false" customHeight="false" outlineLevel="0" collapsed="false">
      <c r="A32" s="0" t="n">
        <v>0.993986</v>
      </c>
      <c r="B32" s="0" t="n">
        <v>16.3035</v>
      </c>
      <c r="D32" s="0" t="n">
        <f aca="false">AVERAGE($A$2:A32)</f>
        <v>0.525920425806452</v>
      </c>
      <c r="E32" s="0" t="n">
        <f aca="false">STDEV($A$2:A32)</f>
        <v>0.286647201501417</v>
      </c>
    </row>
    <row r="33" customFormat="false" ht="12.8" hidden="false" customHeight="false" outlineLevel="0" collapsed="false">
      <c r="A33" s="0" t="n">
        <v>0.20081</v>
      </c>
      <c r="B33" s="0" t="n">
        <v>16.5043</v>
      </c>
      <c r="D33" s="0" t="n">
        <f aca="false">AVERAGE($A$2:A33)</f>
        <v>0.515760725</v>
      </c>
      <c r="E33" s="0" t="n">
        <f aca="false">STDEV($A$2:A33)</f>
        <v>0.287783089696357</v>
      </c>
    </row>
    <row r="34" customFormat="false" ht="12.8" hidden="false" customHeight="false" outlineLevel="0" collapsed="false">
      <c r="A34" s="0" t="n">
        <v>0.722026</v>
      </c>
      <c r="B34" s="0" t="n">
        <v>17.2264</v>
      </c>
      <c r="D34" s="0" t="n">
        <f aca="false">AVERAGE($A$2:A34)</f>
        <v>0.522011187878788</v>
      </c>
      <c r="E34" s="0" t="n">
        <f aca="false">STDEV($A$2:A34)</f>
        <v>0.285517535494586</v>
      </c>
    </row>
    <row r="35" customFormat="false" ht="12.8" hidden="false" customHeight="false" outlineLevel="0" collapsed="false">
      <c r="A35" s="0" t="n">
        <v>0.553061</v>
      </c>
      <c r="B35" s="0" t="n">
        <v>17.7794</v>
      </c>
      <c r="D35" s="0" t="n">
        <f aca="false">AVERAGE($A$2:A35)</f>
        <v>0.522924417647059</v>
      </c>
      <c r="E35" s="0" t="n">
        <f aca="false">STDEV($A$2:A35)</f>
        <v>0.281208655068369</v>
      </c>
    </row>
    <row r="36" customFormat="false" ht="12.8" hidden="false" customHeight="false" outlineLevel="0" collapsed="false">
      <c r="A36" s="0" t="n">
        <v>0.423688</v>
      </c>
      <c r="B36" s="0" t="n">
        <v>18.2031</v>
      </c>
      <c r="D36" s="0" t="n">
        <f aca="false">AVERAGE($A$2:A36)</f>
        <v>0.520089091428571</v>
      </c>
      <c r="E36" s="0" t="n">
        <f aca="false">STDEV($A$2:A36)</f>
        <v>0.27754971216552</v>
      </c>
    </row>
    <row r="37" customFormat="false" ht="12.8" hidden="false" customHeight="false" outlineLevel="0" collapsed="false">
      <c r="A37" s="0" t="n">
        <v>0.935531</v>
      </c>
      <c r="B37" s="0" t="n">
        <v>19.1386</v>
      </c>
      <c r="D37" s="0" t="n">
        <f aca="false">AVERAGE($A$2:A37)</f>
        <v>0.531629144444444</v>
      </c>
      <c r="E37" s="0" t="n">
        <f aca="false">STDEV($A$2:A37)</f>
        <v>0.282182737668599</v>
      </c>
    </row>
    <row r="38" customFormat="false" ht="12.8" hidden="false" customHeight="false" outlineLevel="0" collapsed="false">
      <c r="A38" s="0" t="n">
        <v>0.722042</v>
      </c>
      <c r="B38" s="0" t="n">
        <v>19.8607</v>
      </c>
      <c r="D38" s="0" t="n">
        <f aca="false">AVERAGE($A$2:A38)</f>
        <v>0.536775437837838</v>
      </c>
      <c r="E38" s="0" t="n">
        <f aca="false">STDEV($A$2:A38)</f>
        <v>0.279991346368029</v>
      </c>
    </row>
    <row r="39" customFormat="false" ht="12.8" hidden="false" customHeight="false" outlineLevel="0" collapsed="false">
      <c r="A39" s="0" t="n">
        <v>0.917558</v>
      </c>
      <c r="B39" s="0" t="n">
        <v>20.7782</v>
      </c>
      <c r="D39" s="0" t="n">
        <f aca="false">AVERAGE($A$2:A39)</f>
        <v>0.546796031578947</v>
      </c>
      <c r="E39" s="0" t="n">
        <f aca="false">STDEV($A$2:A39)</f>
        <v>0.283005359406945</v>
      </c>
    </row>
    <row r="40" customFormat="false" ht="12.8" hidden="false" customHeight="false" outlineLevel="0" collapsed="false">
      <c r="A40" s="0" t="n">
        <v>0.623181</v>
      </c>
      <c r="B40" s="0" t="n">
        <v>21.4014</v>
      </c>
      <c r="D40" s="0" t="n">
        <f aca="false">AVERAGE($A$2:A40)</f>
        <v>0.548754620512821</v>
      </c>
      <c r="E40" s="0" t="n">
        <f aca="false">STDEV($A$2:A40)</f>
        <v>0.279524516127026</v>
      </c>
    </row>
    <row r="41" customFormat="false" ht="12.8" hidden="false" customHeight="false" outlineLevel="0" collapsed="false">
      <c r="A41" s="0" t="n">
        <v>0.854547</v>
      </c>
      <c r="B41" s="0" t="n">
        <v>22.256</v>
      </c>
      <c r="D41" s="0" t="n">
        <f aca="false">AVERAGE($A$2:A41)</f>
        <v>0.55639943</v>
      </c>
      <c r="E41" s="0" t="n">
        <f aca="false">STDEV($A$2:A41)</f>
        <v>0.280121839300854</v>
      </c>
    </row>
    <row r="42" customFormat="false" ht="12.8" hidden="false" customHeight="false" outlineLevel="0" collapsed="false">
      <c r="A42" s="0" t="n">
        <v>0.183041</v>
      </c>
      <c r="B42" s="0" t="n">
        <v>22.439</v>
      </c>
      <c r="D42" s="0" t="n">
        <f aca="false">AVERAGE($A$2:A42)</f>
        <v>0.547293126829268</v>
      </c>
      <c r="E42" s="0" t="n">
        <f aca="false">STDEV($A$2:A42)</f>
        <v>0.282677296199906</v>
      </c>
    </row>
    <row r="43" customFormat="false" ht="12.8" hidden="false" customHeight="false" outlineLevel="0" collapsed="false">
      <c r="A43" s="0" t="n">
        <v>0.688096</v>
      </c>
      <c r="B43" s="0" t="n">
        <v>23.1271</v>
      </c>
      <c r="D43" s="0" t="n">
        <f aca="false">AVERAGE($A$2:A43)</f>
        <v>0.550645576190476</v>
      </c>
      <c r="E43" s="0" t="n">
        <f aca="false">STDEV($A$2:A43)</f>
        <v>0.280052763585482</v>
      </c>
    </row>
    <row r="44" customFormat="false" ht="12.8" hidden="false" customHeight="false" outlineLevel="0" collapsed="false">
      <c r="A44" s="0" t="n">
        <v>0.0572111</v>
      </c>
      <c r="B44" s="0" t="n">
        <v>23.1843</v>
      </c>
      <c r="D44" s="0" t="n">
        <f aca="false">AVERAGE($A$2:A44)</f>
        <v>0.539170355813954</v>
      </c>
      <c r="E44" s="0" t="n">
        <f aca="false">STDEV($A$2:A44)</f>
        <v>0.286748059278699</v>
      </c>
    </row>
    <row r="45" customFormat="false" ht="12.8" hidden="false" customHeight="false" outlineLevel="0" collapsed="false">
      <c r="A45" s="0" t="n">
        <v>0.775714</v>
      </c>
      <c r="B45" s="0" t="n">
        <v>23.96</v>
      </c>
      <c r="D45" s="0" t="n">
        <f aca="false">AVERAGE($A$2:A45)</f>
        <v>0.544546347727273</v>
      </c>
      <c r="E45" s="0" t="n">
        <f aca="false">STDEV($A$2:A45)</f>
        <v>0.285628972127109</v>
      </c>
    </row>
    <row r="46" customFormat="false" ht="12.8" hidden="false" customHeight="false" outlineLevel="0" collapsed="false">
      <c r="A46" s="0" t="n">
        <v>0.701783</v>
      </c>
      <c r="B46" s="0" t="n">
        <v>24.6618</v>
      </c>
      <c r="D46" s="0" t="n">
        <f aca="false">AVERAGE($A$2:A46)</f>
        <v>0.548040495555556</v>
      </c>
      <c r="E46" s="0" t="n">
        <f aca="false">STDEV($A$2:A46)</f>
        <v>0.283335733819664</v>
      </c>
    </row>
    <row r="47" customFormat="false" ht="12.8" hidden="false" customHeight="false" outlineLevel="0" collapsed="false">
      <c r="A47" s="0" t="n">
        <v>0.159357</v>
      </c>
      <c r="B47" s="0" t="n">
        <v>24.8212</v>
      </c>
      <c r="D47" s="0" t="n">
        <f aca="false">AVERAGE($A$2:A47)</f>
        <v>0.539590854347826</v>
      </c>
      <c r="E47" s="0" t="n">
        <f aca="false">STDEV($A$2:A47)</f>
        <v>0.285970965823769</v>
      </c>
    </row>
    <row r="48" customFormat="false" ht="12.8" hidden="false" customHeight="false" outlineLevel="0" collapsed="false">
      <c r="A48" s="0" t="n">
        <v>0.0995737</v>
      </c>
      <c r="B48" s="0" t="n">
        <v>24.9208</v>
      </c>
      <c r="D48" s="0" t="n">
        <f aca="false">AVERAGE($A$2:A48)</f>
        <v>0.530228787234043</v>
      </c>
      <c r="E48" s="0" t="n">
        <f aca="false">STDEV($A$2:A48)</f>
        <v>0.290036291740707</v>
      </c>
    </row>
    <row r="49" customFormat="false" ht="12.8" hidden="false" customHeight="false" outlineLevel="0" collapsed="false">
      <c r="A49" s="0" t="n">
        <v>0.560905</v>
      </c>
      <c r="B49" s="0" t="n">
        <v>25.4817</v>
      </c>
      <c r="D49" s="0" t="n">
        <f aca="false">AVERAGE($A$2:A49)</f>
        <v>0.530867875</v>
      </c>
      <c r="E49" s="0" t="n">
        <f aca="false">STDEV($A$2:A49)</f>
        <v>0.286968370614795</v>
      </c>
    </row>
    <row r="50" customFormat="false" ht="12.8" hidden="false" customHeight="false" outlineLevel="0" collapsed="false">
      <c r="A50" s="0" t="n">
        <v>0.347255</v>
      </c>
      <c r="B50" s="0" t="n">
        <v>25.8289</v>
      </c>
      <c r="D50" s="0" t="n">
        <f aca="false">AVERAGE($A$2:A50)</f>
        <v>0.527120673469388</v>
      </c>
      <c r="E50" s="0" t="n">
        <f aca="false">STDEV($A$2:A50)</f>
        <v>0.285172294517028</v>
      </c>
    </row>
    <row r="51" customFormat="false" ht="17.35" hidden="false" customHeight="false" outlineLevel="0" collapsed="false">
      <c r="A51" s="4" t="n">
        <v>0.539348</v>
      </c>
      <c r="B51" s="5" t="n">
        <v>26.3683</v>
      </c>
      <c r="C51" s="5"/>
      <c r="D51" s="5" t="n">
        <f aca="false">AVERAGE($A$2:A51)</f>
        <v>0.52736522</v>
      </c>
      <c r="E51" s="6" t="n">
        <f aca="false">STDEV($A$2:A51)</f>
        <v>0.282252670139714</v>
      </c>
    </row>
    <row r="52" customFormat="false" ht="12.8" hidden="false" customHeight="false" outlineLevel="0" collapsed="false">
      <c r="A52" s="0" t="n">
        <v>0.801053</v>
      </c>
      <c r="B52" s="0" t="n">
        <v>27.1693</v>
      </c>
      <c r="D52" s="7" t="n">
        <f aca="false">AVERAGE($A$2:A52)</f>
        <v>0.532731647058824</v>
      </c>
      <c r="E52" s="7" t="n">
        <f aca="false">STDEV($A$2:A52)</f>
        <v>0.282031849111478</v>
      </c>
    </row>
    <row r="53" customFormat="false" ht="12.8" hidden="false" customHeight="false" outlineLevel="0" collapsed="false">
      <c r="A53" s="0" t="n">
        <v>0.861269</v>
      </c>
      <c r="B53" s="0" t="n">
        <v>28.0306</v>
      </c>
      <c r="D53" s="0" t="n">
        <f aca="false">AVERAGE($A$2:A53)</f>
        <v>0.539049673076923</v>
      </c>
      <c r="E53" s="0" t="n">
        <f aca="false">STDEV($A$2:A53)</f>
        <v>0.282945268746095</v>
      </c>
    </row>
    <row r="54" customFormat="false" ht="12.8" hidden="false" customHeight="false" outlineLevel="0" collapsed="false">
      <c r="A54" s="0" t="n">
        <v>0.63994</v>
      </c>
      <c r="B54" s="0" t="n">
        <v>28.6705</v>
      </c>
      <c r="D54" s="0" t="n">
        <f aca="false">AVERAGE($A$2:A54)</f>
        <v>0.540953264150943</v>
      </c>
      <c r="E54" s="0" t="n">
        <f aca="false">STDEV($A$2:A54)</f>
        <v>0.280553919284163</v>
      </c>
    </row>
    <row r="55" customFormat="false" ht="12.8" hidden="false" customHeight="false" outlineLevel="0" collapsed="false">
      <c r="A55" s="0" t="n">
        <v>0.81064</v>
      </c>
      <c r="B55" s="0" t="n">
        <v>29.4812</v>
      </c>
      <c r="D55" s="0" t="n">
        <f aca="false">AVERAGE($A$2:A55)</f>
        <v>0.545947462962963</v>
      </c>
      <c r="E55" s="0" t="n">
        <f aca="false">STDEV($A$2:A55)</f>
        <v>0.280307450841466</v>
      </c>
    </row>
    <row r="56" customFormat="false" ht="12.8" hidden="false" customHeight="false" outlineLevel="0" collapsed="false">
      <c r="A56" s="0" t="n">
        <v>0.38527</v>
      </c>
      <c r="B56" s="0" t="n">
        <v>29.8664</v>
      </c>
      <c r="D56" s="0" t="n">
        <f aca="false">AVERAGE($A$2:A56)</f>
        <v>0.543026054545455</v>
      </c>
      <c r="E56" s="0" t="n">
        <f aca="false">STDEV($A$2:A56)</f>
        <v>0.278543765876414</v>
      </c>
    </row>
    <row r="57" customFormat="false" ht="12.8" hidden="false" customHeight="false" outlineLevel="0" collapsed="false">
      <c r="A57" s="0" t="n">
        <v>0.738261</v>
      </c>
      <c r="B57" s="0" t="n">
        <v>30.6047</v>
      </c>
      <c r="D57" s="0" t="n">
        <f aca="false">AVERAGE($A$2:A57)</f>
        <v>0.546512392857143</v>
      </c>
      <c r="E57" s="0" t="n">
        <f aca="false">STDEV($A$2:A57)</f>
        <v>0.277230262755831</v>
      </c>
    </row>
    <row r="58" customFormat="false" ht="12.8" hidden="false" customHeight="false" outlineLevel="0" collapsed="false">
      <c r="A58" s="0" t="n">
        <v>0.321726</v>
      </c>
      <c r="B58" s="0" t="n">
        <v>30.9264</v>
      </c>
      <c r="D58" s="0" t="n">
        <f aca="false">AVERAGE($A$2:A58)</f>
        <v>0.542568771929825</v>
      </c>
      <c r="E58" s="0" t="n">
        <f aca="false">STDEV($A$2:A58)</f>
        <v>0.276352404174594</v>
      </c>
    </row>
    <row r="59" customFormat="false" ht="12.8" hidden="false" customHeight="false" outlineLevel="0" collapsed="false">
      <c r="A59" s="0" t="n">
        <v>0.754328</v>
      </c>
      <c r="B59" s="0" t="n">
        <v>31.6807</v>
      </c>
      <c r="D59" s="0" t="n">
        <f aca="false">AVERAGE($A$2:A59)</f>
        <v>0.546219793103448</v>
      </c>
      <c r="E59" s="0" t="n">
        <f aca="false">STDEV($A$2:A59)</f>
        <v>0.275325176347668</v>
      </c>
    </row>
    <row r="60" customFormat="false" ht="12.8" hidden="false" customHeight="false" outlineLevel="0" collapsed="false">
      <c r="A60" s="0" t="n">
        <v>0.989224</v>
      </c>
      <c r="B60" s="0" t="n">
        <v>32.67</v>
      </c>
      <c r="D60" s="0" t="n">
        <f aca="false">AVERAGE($A$2:A60)</f>
        <v>0.553728338983051</v>
      </c>
      <c r="E60" s="0" t="n">
        <f aca="false">STDEV($A$2:A60)</f>
        <v>0.278968287518417</v>
      </c>
    </row>
    <row r="61" customFormat="false" ht="12.8" hidden="false" customHeight="false" outlineLevel="0" collapsed="false">
      <c r="A61" s="0" t="n">
        <v>0.801059</v>
      </c>
      <c r="B61" s="0" t="n">
        <v>33.471</v>
      </c>
      <c r="D61" s="0" t="n">
        <f aca="false">AVERAGE($A$2:A61)</f>
        <v>0.557850516666667</v>
      </c>
      <c r="E61" s="0" t="n">
        <f aca="false">STDEV($A$2:A61)</f>
        <v>0.278430974025889</v>
      </c>
    </row>
    <row r="62" customFormat="false" ht="12.8" hidden="false" customHeight="false" outlineLevel="0" collapsed="false">
      <c r="A62" s="0" t="n">
        <v>0.826419</v>
      </c>
      <c r="B62" s="0" t="n">
        <v>34.2974</v>
      </c>
      <c r="D62" s="0" t="n">
        <f aca="false">AVERAGE($A$2:A62)</f>
        <v>0.562253278688525</v>
      </c>
      <c r="E62" s="0" t="n">
        <f aca="false">STDEV($A$2:A62)</f>
        <v>0.278234050685288</v>
      </c>
    </row>
    <row r="63" customFormat="false" ht="12.8" hidden="false" customHeight="false" outlineLevel="0" collapsed="false">
      <c r="A63" s="0" t="n">
        <v>0.673352</v>
      </c>
      <c r="B63" s="0" t="n">
        <v>34.9708</v>
      </c>
      <c r="D63" s="0" t="n">
        <f aca="false">AVERAGE($A$2:A63)</f>
        <v>0.564045193548387</v>
      </c>
      <c r="E63" s="0" t="n">
        <f aca="false">STDEV($A$2:A63)</f>
        <v>0.27630450842907</v>
      </c>
    </row>
    <row r="64" customFormat="false" ht="12.8" hidden="false" customHeight="false" outlineLevel="0" collapsed="false">
      <c r="A64" s="0" t="n">
        <v>0.996031</v>
      </c>
      <c r="B64" s="0" t="n">
        <v>35.9668</v>
      </c>
      <c r="D64" s="0" t="n">
        <f aca="false">AVERAGE($A$2:A64)</f>
        <v>0.570902111111111</v>
      </c>
      <c r="E64" s="0" t="n">
        <f aca="false">STDEV($A$2:A64)</f>
        <v>0.279418887473933</v>
      </c>
    </row>
    <row r="65" customFormat="false" ht="12.8" hidden="false" customHeight="false" outlineLevel="0" collapsed="false">
      <c r="A65" s="0" t="n">
        <v>0.176261</v>
      </c>
      <c r="B65" s="0" t="n">
        <v>36.1431</v>
      </c>
      <c r="D65" s="0" t="n">
        <f aca="false">AVERAGE($A$2:A65)</f>
        <v>0.56473584375</v>
      </c>
      <c r="E65" s="0" t="n">
        <f aca="false">STDEV($A$2:A65)</f>
        <v>0.2815476743289</v>
      </c>
    </row>
    <row r="66" customFormat="false" ht="12.8" hidden="false" customHeight="false" outlineLevel="0" collapsed="false">
      <c r="A66" s="0" t="n">
        <v>0.193632</v>
      </c>
      <c r="B66" s="0" t="n">
        <v>36.3367</v>
      </c>
      <c r="D66" s="0" t="n">
        <f aca="false">AVERAGE($A$2:A66)</f>
        <v>0.559026553846154</v>
      </c>
      <c r="E66" s="0" t="n">
        <f aca="false">STDEV($A$2:A66)</f>
        <v>0.283106433645612</v>
      </c>
    </row>
    <row r="67" customFormat="false" ht="12.8" hidden="false" customHeight="false" outlineLevel="0" collapsed="false">
      <c r="A67" s="0" t="n">
        <v>0.0213317</v>
      </c>
      <c r="B67" s="0" t="n">
        <v>36.3581</v>
      </c>
      <c r="D67" s="0" t="n">
        <f aca="false">AVERAGE($A$2:A67)</f>
        <v>0.550879662121212</v>
      </c>
      <c r="E67" s="0" t="n">
        <f aca="false">STDEV($A$2:A67)</f>
        <v>0.288611727238562</v>
      </c>
    </row>
    <row r="68" customFormat="false" ht="12.8" hidden="false" customHeight="false" outlineLevel="0" collapsed="false">
      <c r="A68" s="0" t="n">
        <v>0.21521</v>
      </c>
      <c r="B68" s="0" t="n">
        <v>36.5733</v>
      </c>
      <c r="D68" s="0" t="n">
        <f aca="false">AVERAGE($A$2:A68)</f>
        <v>0.545869667164179</v>
      </c>
      <c r="E68" s="0" t="n">
        <f aca="false">STDEV($A$2:A68)</f>
        <v>0.289337796979686</v>
      </c>
    </row>
    <row r="69" customFormat="false" ht="12.8" hidden="false" customHeight="false" outlineLevel="0" collapsed="false">
      <c r="A69" s="0" t="n">
        <v>0.142185</v>
      </c>
      <c r="B69" s="0" t="n">
        <v>36.7155</v>
      </c>
      <c r="D69" s="0" t="n">
        <f aca="false">AVERAGE($A$2:A69)</f>
        <v>0.539933127941176</v>
      </c>
      <c r="E69" s="0" t="n">
        <f aca="false">STDEV($A$2:A69)</f>
        <v>0.291313152294221</v>
      </c>
    </row>
    <row r="70" customFormat="false" ht="12.8" hidden="false" customHeight="false" outlineLevel="0" collapsed="false">
      <c r="A70" s="0" t="n">
        <v>0.601422</v>
      </c>
      <c r="B70" s="0" t="n">
        <v>37.3169</v>
      </c>
      <c r="D70" s="0" t="n">
        <f aca="false">AVERAGE($A$2:A70)</f>
        <v>0.540824271014493</v>
      </c>
      <c r="E70" s="0" t="n">
        <f aca="false">STDEV($A$2:A70)</f>
        <v>0.289257943021692</v>
      </c>
    </row>
    <row r="71" customFormat="false" ht="12.8" hidden="false" customHeight="false" outlineLevel="0" collapsed="false">
      <c r="A71" s="0" t="n">
        <v>0.150841</v>
      </c>
      <c r="B71" s="0" t="n">
        <v>37.4677</v>
      </c>
      <c r="D71" s="0" t="n">
        <f aca="false">AVERAGE($A$2:A71)</f>
        <v>0.535253081428571</v>
      </c>
      <c r="E71" s="0" t="n">
        <f aca="false">STDEV($A$2:A71)</f>
        <v>0.290912731518532</v>
      </c>
    </row>
    <row r="72" customFormat="false" ht="12.8" hidden="false" customHeight="false" outlineLevel="0" collapsed="false">
      <c r="A72" s="0" t="n">
        <v>0.979656</v>
      </c>
      <c r="B72" s="0" t="n">
        <v>38.4474</v>
      </c>
      <c r="D72" s="0" t="n">
        <f aca="false">AVERAGE($A$2:A72)</f>
        <v>0.541512277464789</v>
      </c>
      <c r="E72" s="0" t="n">
        <f aca="false">STDEV($A$2:A72)</f>
        <v>0.293603166265015</v>
      </c>
    </row>
    <row r="73" customFormat="false" ht="12.8" hidden="false" customHeight="false" outlineLevel="0" collapsed="false">
      <c r="A73" s="0" t="n">
        <v>0.0679385</v>
      </c>
      <c r="B73" s="0" t="n">
        <v>38.5153</v>
      </c>
      <c r="D73" s="0" t="n">
        <f aca="false">AVERAGE($A$2:A73)</f>
        <v>0.534934863888889</v>
      </c>
      <c r="E73" s="0" t="n">
        <f aca="false">STDEV($A$2:A73)</f>
        <v>0.296822481660789</v>
      </c>
    </row>
    <row r="74" customFormat="false" ht="12.8" hidden="false" customHeight="false" outlineLevel="0" collapsed="false">
      <c r="A74" s="0" t="n">
        <v>0.62101</v>
      </c>
      <c r="B74" s="0" t="n">
        <v>39.1363</v>
      </c>
      <c r="D74" s="0" t="n">
        <f aca="false">AVERAGE($A$2:A74)</f>
        <v>0.536113975342466</v>
      </c>
      <c r="E74" s="0" t="n">
        <f aca="false">STDEV($A$2:A74)</f>
        <v>0.29492612106551</v>
      </c>
    </row>
    <row r="75" customFormat="false" ht="12.8" hidden="false" customHeight="false" outlineLevel="0" collapsed="false">
      <c r="A75" s="0" t="n">
        <v>0.17941</v>
      </c>
      <c r="B75" s="0" t="n">
        <v>39.3157</v>
      </c>
      <c r="D75" s="0" t="n">
        <f aca="false">AVERAGE($A$2:A75)</f>
        <v>0.531293651351351</v>
      </c>
      <c r="E75" s="0" t="n">
        <f aca="false">STDEV($A$2:A75)</f>
        <v>0.295819741325853</v>
      </c>
    </row>
    <row r="76" customFormat="false" ht="12.8" hidden="false" customHeight="false" outlineLevel="0" collapsed="false">
      <c r="A76" s="0" t="n">
        <v>0.752879</v>
      </c>
      <c r="B76" s="0" t="n">
        <v>40.0686</v>
      </c>
      <c r="D76" s="0" t="n">
        <f aca="false">AVERAGE($A$2:A76)</f>
        <v>0.534248122666667</v>
      </c>
      <c r="E76" s="0" t="n">
        <f aca="false">STDEV($A$2:A76)</f>
        <v>0.294926140829983</v>
      </c>
    </row>
    <row r="77" customFormat="false" ht="12.8" hidden="false" customHeight="false" outlineLevel="0" collapsed="false">
      <c r="A77" s="0" t="n">
        <v>0.813206</v>
      </c>
      <c r="B77" s="0" t="n">
        <v>40.8818</v>
      </c>
      <c r="D77" s="0" t="n">
        <f aca="false">AVERAGE($A$2:A77)</f>
        <v>0.537918621052632</v>
      </c>
      <c r="E77" s="0" t="n">
        <f aca="false">STDEV($A$2:A77)</f>
        <v>0.29469575939055</v>
      </c>
    </row>
    <row r="78" customFormat="false" ht="12.8" hidden="false" customHeight="false" outlineLevel="0" collapsed="false">
      <c r="A78" s="0" t="n">
        <v>0.933824</v>
      </c>
      <c r="B78" s="0" t="n">
        <v>41.8156</v>
      </c>
      <c r="D78" s="0" t="n">
        <f aca="false">AVERAGE($A$2:A78)</f>
        <v>0.543060249350649</v>
      </c>
      <c r="E78" s="0" t="n">
        <f aca="false">STDEV($A$2:A78)</f>
        <v>0.296206825989875</v>
      </c>
    </row>
    <row r="79" customFormat="false" ht="12.8" hidden="false" customHeight="false" outlineLevel="0" collapsed="false">
      <c r="A79" s="0" t="n">
        <v>0.0860388</v>
      </c>
      <c r="B79" s="0" t="n">
        <v>41.9017</v>
      </c>
      <c r="D79" s="0" t="n">
        <f aca="false">AVERAGE($A$2:A79)</f>
        <v>0.537201</v>
      </c>
      <c r="E79" s="0" t="n">
        <f aca="false">STDEV($A$2:A79)</f>
        <v>0.298792278289192</v>
      </c>
    </row>
    <row r="80" customFormat="false" ht="12.8" hidden="false" customHeight="false" outlineLevel="0" collapsed="false">
      <c r="A80" s="0" t="n">
        <v>0.51345</v>
      </c>
      <c r="B80" s="0" t="n">
        <v>42.4151</v>
      </c>
      <c r="D80" s="0" t="n">
        <f aca="false">AVERAGE($A$2:A80)</f>
        <v>0.53690035443038</v>
      </c>
      <c r="E80" s="0" t="n">
        <f aca="false">STDEV($A$2:A80)</f>
        <v>0.296882790864401</v>
      </c>
    </row>
    <row r="81" customFormat="false" ht="12.8" hidden="false" customHeight="false" outlineLevel="0" collapsed="false">
      <c r="A81" s="0" t="n">
        <v>0.942365</v>
      </c>
      <c r="B81" s="0" t="n">
        <v>43.3575</v>
      </c>
      <c r="D81" s="0" t="n">
        <f aca="false">AVERAGE($A$2:A81)</f>
        <v>0.5419686625</v>
      </c>
      <c r="E81" s="0" t="n">
        <f aca="false">STDEV($A$2:A81)</f>
        <v>0.298460588263136</v>
      </c>
    </row>
    <row r="82" customFormat="false" ht="12.8" hidden="false" customHeight="false" outlineLevel="0" collapsed="false">
      <c r="A82" s="0" t="n">
        <v>0.170963</v>
      </c>
      <c r="B82" s="0" t="n">
        <v>43.5285</v>
      </c>
      <c r="D82" s="0" t="n">
        <f aca="false">AVERAGE($A$2:A82)</f>
        <v>0.537388345679012</v>
      </c>
      <c r="E82" s="0" t="n">
        <f aca="false">STDEV($A$2:A82)</f>
        <v>0.299440415089009</v>
      </c>
    </row>
    <row r="83" customFormat="false" ht="12.8" hidden="false" customHeight="false" outlineLevel="0" collapsed="false">
      <c r="A83" s="0" t="n">
        <v>0.475305</v>
      </c>
      <c r="B83" s="0" t="n">
        <v>44.0038</v>
      </c>
      <c r="D83" s="0" t="n">
        <f aca="false">AVERAGE($A$2:A83)</f>
        <v>0.536631231707317</v>
      </c>
      <c r="E83" s="0" t="n">
        <f aca="false">STDEV($A$2:A83)</f>
        <v>0.297665242266438</v>
      </c>
    </row>
    <row r="84" customFormat="false" ht="12.8" hidden="false" customHeight="false" outlineLevel="0" collapsed="false">
      <c r="A84" s="0" t="n">
        <v>0.234191</v>
      </c>
      <c r="B84" s="0" t="n">
        <v>44.238</v>
      </c>
      <c r="D84" s="0" t="n">
        <f aca="false">AVERAGE($A$2:A84)</f>
        <v>0.532987373493976</v>
      </c>
      <c r="E84" s="0" t="n">
        <f aca="false">STDEV($A$2:A84)</f>
        <v>0.297701363646019</v>
      </c>
    </row>
    <row r="85" customFormat="false" ht="12.8" hidden="false" customHeight="false" outlineLevel="0" collapsed="false">
      <c r="A85" s="0" t="n">
        <v>0.646537</v>
      </c>
      <c r="B85" s="0" t="n">
        <v>44.8845</v>
      </c>
      <c r="D85" s="0" t="n">
        <f aca="false">AVERAGE($A$2:A85)</f>
        <v>0.534339154761905</v>
      </c>
      <c r="E85" s="0" t="n">
        <f aca="false">STDEV($A$2:A85)</f>
        <v>0.296161800059272</v>
      </c>
    </row>
    <row r="86" customFormat="false" ht="12.8" hidden="false" customHeight="false" outlineLevel="0" collapsed="false">
      <c r="A86" s="0" t="n">
        <v>0.683904</v>
      </c>
      <c r="B86" s="0" t="n">
        <v>45.5684</v>
      </c>
      <c r="D86" s="0" t="n">
        <f aca="false">AVERAGE($A$2:A86)</f>
        <v>0.536098741176471</v>
      </c>
      <c r="E86" s="0" t="n">
        <f aca="false">STDEV($A$2:A86)</f>
        <v>0.294840288712789</v>
      </c>
    </row>
    <row r="87" customFormat="false" ht="12.8" hidden="false" customHeight="false" outlineLevel="0" collapsed="false">
      <c r="A87" s="0" t="n">
        <v>0.663593</v>
      </c>
      <c r="B87" s="0" t="n">
        <v>46.232</v>
      </c>
      <c r="D87" s="0" t="n">
        <f aca="false">AVERAGE($A$2:A87)</f>
        <v>0.53758123255814</v>
      </c>
      <c r="E87" s="0" t="n">
        <f aca="false">STDEV($A$2:A87)</f>
        <v>0.293423055915662</v>
      </c>
    </row>
    <row r="88" customFormat="false" ht="12.8" hidden="false" customHeight="false" outlineLevel="0" collapsed="false">
      <c r="A88" s="0" t="n">
        <v>0.180721</v>
      </c>
      <c r="B88" s="0" t="n">
        <v>46.4127</v>
      </c>
      <c r="D88" s="0" t="n">
        <f aca="false">AVERAGE($A$2:A88)</f>
        <v>0.533479390804598</v>
      </c>
      <c r="E88" s="0" t="n">
        <f aca="false">STDEV($A$2:A88)</f>
        <v>0.294210375402487</v>
      </c>
    </row>
    <row r="89" customFormat="false" ht="12.8" hidden="false" customHeight="false" outlineLevel="0" collapsed="false">
      <c r="A89" s="0" t="n">
        <v>0.345177</v>
      </c>
      <c r="B89" s="0" t="n">
        <v>46.7579</v>
      </c>
      <c r="D89" s="0" t="n">
        <f aca="false">AVERAGE($A$2:A89)</f>
        <v>0.531339590909091</v>
      </c>
      <c r="E89" s="0" t="n">
        <f aca="false">STDEV($A$2:A89)</f>
        <v>0.293202549158431</v>
      </c>
    </row>
    <row r="90" customFormat="false" ht="12.8" hidden="false" customHeight="false" outlineLevel="0" collapsed="false">
      <c r="A90" s="0" t="n">
        <v>0.321016</v>
      </c>
      <c r="B90" s="0" t="n">
        <v>47.0789</v>
      </c>
      <c r="D90" s="0" t="n">
        <f aca="false">AVERAGE($A$2:A90)</f>
        <v>0.528976404494382</v>
      </c>
      <c r="E90" s="0" t="n">
        <f aca="false">STDEV($A$2:A90)</f>
        <v>0.292383075105389</v>
      </c>
    </row>
    <row r="91" customFormat="false" ht="12.8" hidden="false" customHeight="false" outlineLevel="0" collapsed="false">
      <c r="A91" s="0" t="n">
        <v>0.869046</v>
      </c>
      <c r="B91" s="0" t="n">
        <v>47.9479</v>
      </c>
      <c r="D91" s="0" t="n">
        <f aca="false">AVERAGE($A$2:A91)</f>
        <v>0.532754955555556</v>
      </c>
      <c r="E91" s="0" t="n">
        <f aca="false">STDEV($A$2:A91)</f>
        <v>0.292937357052563</v>
      </c>
    </row>
    <row r="92" customFormat="false" ht="12.8" hidden="false" customHeight="false" outlineLevel="0" collapsed="false">
      <c r="A92" s="0" t="n">
        <v>0.251554</v>
      </c>
      <c r="B92" s="0" t="n">
        <v>48.1995</v>
      </c>
      <c r="D92" s="0" t="n">
        <f aca="false">AVERAGE($A$2:A92)</f>
        <v>0.529664835164835</v>
      </c>
      <c r="E92" s="0" t="n">
        <f aca="false">STDEV($A$2:A92)</f>
        <v>0.292793049810621</v>
      </c>
    </row>
    <row r="93" customFormat="false" ht="12.8" hidden="false" customHeight="false" outlineLevel="0" collapsed="false">
      <c r="A93" s="0" t="n">
        <v>0.893495</v>
      </c>
      <c r="B93" s="0" t="n">
        <v>49.093</v>
      </c>
      <c r="D93" s="0" t="n">
        <f aca="false">AVERAGE($A$2:A93)</f>
        <v>0.533619510869565</v>
      </c>
      <c r="E93" s="0" t="n">
        <f aca="false">STDEV($A$2:A93)</f>
        <v>0.29364014869248</v>
      </c>
    </row>
    <row r="94" customFormat="false" ht="12.8" hidden="false" customHeight="false" outlineLevel="0" collapsed="false">
      <c r="A94" s="0" t="n">
        <v>0.157976</v>
      </c>
      <c r="B94" s="0" t="n">
        <v>49.251</v>
      </c>
      <c r="D94" s="0" t="n">
        <f aca="false">AVERAGE($A$2:A94)</f>
        <v>0.529580333333333</v>
      </c>
      <c r="E94" s="0" t="n">
        <f aca="false">STDEV($A$2:A94)</f>
        <v>0.294626211541745</v>
      </c>
    </row>
    <row r="95" customFormat="false" ht="12.8" hidden="false" customHeight="false" outlineLevel="0" collapsed="false">
      <c r="A95" s="0" t="n">
        <v>0.204799</v>
      </c>
      <c r="B95" s="0" t="n">
        <v>49.4558</v>
      </c>
      <c r="D95" s="0" t="n">
        <f aca="false">AVERAGE($A$2:A95)</f>
        <v>0.526125212765958</v>
      </c>
      <c r="E95" s="0" t="n">
        <f aca="false">STDEV($A$2:A95)</f>
        <v>0.294946402500115</v>
      </c>
    </row>
    <row r="96" customFormat="false" ht="12.8" hidden="false" customHeight="false" outlineLevel="0" collapsed="false">
      <c r="A96" s="0" t="n">
        <v>0.208352</v>
      </c>
      <c r="B96" s="0" t="n">
        <v>49.6641</v>
      </c>
      <c r="D96" s="0" t="n">
        <f aca="false">AVERAGE($A$2:A96)</f>
        <v>0.522780231578947</v>
      </c>
      <c r="E96" s="0" t="n">
        <f aca="false">STDEV($A$2:A96)</f>
        <v>0.295179376435984</v>
      </c>
    </row>
    <row r="97" customFormat="false" ht="12.8" hidden="false" customHeight="false" outlineLevel="0" collapsed="false">
      <c r="A97" s="0" t="n">
        <v>0.546034</v>
      </c>
      <c r="B97" s="0" t="n">
        <v>50.2102</v>
      </c>
      <c r="D97" s="0" t="n">
        <f aca="false">AVERAGE($A$2:A97)</f>
        <v>0.523022458333333</v>
      </c>
      <c r="E97" s="0" t="n">
        <f aca="false">STDEV($A$2:A97)</f>
        <v>0.293631282334903</v>
      </c>
    </row>
    <row r="98" customFormat="false" ht="12.8" hidden="false" customHeight="false" outlineLevel="0" collapsed="false">
      <c r="A98" s="0" t="n">
        <v>0.883658</v>
      </c>
      <c r="B98" s="0" t="n">
        <v>51.0938</v>
      </c>
      <c r="D98" s="0" t="n">
        <f aca="false">AVERAGE($A$2:A98)</f>
        <v>0.526740350515464</v>
      </c>
      <c r="E98" s="0" t="n">
        <f aca="false">STDEV($A$2:A98)</f>
        <v>0.29438413001744</v>
      </c>
    </row>
    <row r="99" customFormat="false" ht="12.8" hidden="false" customHeight="false" outlineLevel="0" collapsed="false">
      <c r="A99" s="0" t="n">
        <v>0.286789</v>
      </c>
      <c r="B99" s="0" t="n">
        <v>51.3806</v>
      </c>
      <c r="D99" s="0" t="n">
        <f aca="false">AVERAGE($A$2:A99)</f>
        <v>0.524291867346939</v>
      </c>
      <c r="E99" s="0" t="n">
        <f aca="false">STDEV($A$2:A99)</f>
        <v>0.293864101250396</v>
      </c>
    </row>
    <row r="100" customFormat="false" ht="12.8" hidden="false" customHeight="false" outlineLevel="0" collapsed="false">
      <c r="A100" s="0" t="n">
        <v>0.24097</v>
      </c>
      <c r="B100" s="0" t="n">
        <v>51.6216</v>
      </c>
      <c r="D100" s="0" t="n">
        <f aca="false">AVERAGE($A$2:A100)</f>
        <v>0.52143003030303</v>
      </c>
      <c r="E100" s="0" t="n">
        <f aca="false">STDEV($A$2:A100)</f>
        <v>0.293744355219074</v>
      </c>
    </row>
    <row r="101" customFormat="false" ht="17.35" hidden="false" customHeight="false" outlineLevel="0" collapsed="false">
      <c r="A101" s="4" t="n">
        <v>0.0718273</v>
      </c>
      <c r="B101" s="5" t="n">
        <v>51.6934</v>
      </c>
      <c r="C101" s="5"/>
      <c r="D101" s="5" t="n">
        <f aca="false">AVERAGE($A$2:A101)</f>
        <v>0.516934003</v>
      </c>
      <c r="E101" s="6" t="n">
        <f aca="false">STDEV($A$2:A101)</f>
        <v>0.295695111863312</v>
      </c>
    </row>
    <row r="102" customFormat="false" ht="12.8" hidden="false" customHeight="false" outlineLevel="0" collapsed="false">
      <c r="A102" s="0" t="n">
        <v>0.192316</v>
      </c>
      <c r="B102" s="0" t="n">
        <v>51.8857</v>
      </c>
      <c r="D102" s="0" t="n">
        <f aca="false">AVERAGE($A$2:A102)</f>
        <v>0.513719963366337</v>
      </c>
      <c r="E102" s="0" t="n">
        <f aca="false">STDEV($A$2:A102)</f>
        <v>0.295980705985206</v>
      </c>
    </row>
    <row r="103" customFormat="false" ht="12.8" hidden="false" customHeight="false" outlineLevel="0" collapsed="false">
      <c r="A103" s="0" t="n">
        <v>0.681052</v>
      </c>
      <c r="B103" s="0" t="n">
        <v>52.5668</v>
      </c>
      <c r="D103" s="0" t="n">
        <f aca="false">AVERAGE($A$2:A103)</f>
        <v>0.515360473529412</v>
      </c>
      <c r="E103" s="0" t="n">
        <f aca="false">STDEV($A$2:A103)</f>
        <v>0.294977484157141</v>
      </c>
    </row>
    <row r="104" customFormat="false" ht="12.8" hidden="false" customHeight="false" outlineLevel="0" collapsed="false">
      <c r="A104" s="0" t="n">
        <v>0.441748</v>
      </c>
      <c r="B104" s="0" t="n">
        <v>53.0085</v>
      </c>
      <c r="D104" s="0" t="n">
        <f aca="false">AVERAGE($A$2:A104)</f>
        <v>0.514645789320388</v>
      </c>
      <c r="E104" s="0" t="n">
        <f aca="false">STDEV($A$2:A104)</f>
        <v>0.293617557021569</v>
      </c>
    </row>
    <row r="105" customFormat="false" ht="12.8" hidden="false" customHeight="false" outlineLevel="0" collapsed="false">
      <c r="A105" s="0" t="n">
        <v>0.848413</v>
      </c>
      <c r="B105" s="0" t="n">
        <v>53.8569</v>
      </c>
      <c r="D105" s="0" t="n">
        <f aca="false">AVERAGE($A$2:A105)</f>
        <v>0.517855089423077</v>
      </c>
      <c r="E105" s="0" t="n">
        <f aca="false">STDEV($A$2:A105)</f>
        <v>0.294016030711744</v>
      </c>
    </row>
    <row r="106" customFormat="false" ht="12.8" hidden="false" customHeight="false" outlineLevel="0" collapsed="false">
      <c r="A106" s="0" t="n">
        <v>0.996605</v>
      </c>
      <c r="B106" s="0" t="n">
        <v>54.8535</v>
      </c>
      <c r="D106" s="0" t="n">
        <f aca="false">AVERAGE($A$2:A106)</f>
        <v>0.522414612380952</v>
      </c>
      <c r="E106" s="0" t="n">
        <f aca="false">STDEV($A$2:A106)</f>
        <v>0.296305739906572</v>
      </c>
    </row>
    <row r="107" customFormat="false" ht="12.8" hidden="false" customHeight="false" outlineLevel="0" collapsed="false">
      <c r="A107" s="0" t="n">
        <v>0.0287397</v>
      </c>
      <c r="B107" s="0" t="n">
        <v>54.8823</v>
      </c>
      <c r="D107" s="0" t="n">
        <f aca="false">AVERAGE($A$2:A107)</f>
        <v>0.517757301886793</v>
      </c>
      <c r="E107" s="0" t="n">
        <f aca="false">STDEV($A$2:A107)</f>
        <v>0.298764332000175</v>
      </c>
    </row>
    <row r="108" customFormat="false" ht="12.8" hidden="false" customHeight="false" outlineLevel="0" collapsed="false">
      <c r="A108" s="0" t="n">
        <v>0.852422</v>
      </c>
      <c r="B108" s="0" t="n">
        <v>55.7347</v>
      </c>
      <c r="D108" s="0" t="n">
        <f aca="false">AVERAGE($A$2:A108)</f>
        <v>0.520885009345794</v>
      </c>
      <c r="E108" s="0" t="n">
        <f aca="false">STDEV($A$2:A108)</f>
        <v>0.299106640994436</v>
      </c>
    </row>
    <row r="109" customFormat="false" ht="12.8" hidden="false" customHeight="false" outlineLevel="0" collapsed="false">
      <c r="A109" s="0" t="n">
        <v>0.315115</v>
      </c>
      <c r="B109" s="0" t="n">
        <v>56.0498</v>
      </c>
      <c r="D109" s="0" t="n">
        <f aca="false">AVERAGE($A$2:A109)</f>
        <v>0.518979731481482</v>
      </c>
      <c r="E109" s="0" t="n">
        <f aca="false">STDEV($A$2:A109)</f>
        <v>0.29836338962171</v>
      </c>
    </row>
    <row r="110" customFormat="false" ht="12.8" hidden="false" customHeight="false" outlineLevel="0" collapsed="false">
      <c r="A110" s="0" t="n">
        <v>0.981869</v>
      </c>
      <c r="B110" s="0" t="n">
        <v>57.0317</v>
      </c>
      <c r="D110" s="0" t="n">
        <f aca="false">AVERAGE($A$2:A110)</f>
        <v>0.523226422018349</v>
      </c>
      <c r="E110" s="0" t="n">
        <f aca="false">STDEV($A$2:A110)</f>
        <v>0.300270201466065</v>
      </c>
    </row>
    <row r="111" customFormat="false" ht="12.8" hidden="false" customHeight="false" outlineLevel="0" collapsed="false">
      <c r="A111" s="0" t="n">
        <v>0.356696</v>
      </c>
      <c r="B111" s="0" t="n">
        <v>57.3884</v>
      </c>
      <c r="D111" s="0" t="n">
        <f aca="false">AVERAGE($A$2:A111)</f>
        <v>0.521712509090909</v>
      </c>
      <c r="E111" s="0" t="n">
        <f aca="false">STDEV($A$2:A111)</f>
        <v>0.299311092939197</v>
      </c>
    </row>
    <row r="112" customFormat="false" ht="12.8" hidden="false" customHeight="false" outlineLevel="0" collapsed="false">
      <c r="A112" s="0" t="n">
        <v>0.655621</v>
      </c>
      <c r="B112" s="0" t="n">
        <v>58.044</v>
      </c>
      <c r="D112" s="0" t="n">
        <f aca="false">AVERAGE($A$2:A112)</f>
        <v>0.522918891891892</v>
      </c>
      <c r="E112" s="0" t="n">
        <f aca="false">STDEV($A$2:A112)</f>
        <v>0.298218454826339</v>
      </c>
    </row>
    <row r="113" customFormat="false" ht="12.8" hidden="false" customHeight="false" outlineLevel="0" collapsed="false">
      <c r="A113" s="0" t="n">
        <v>0.0779715</v>
      </c>
      <c r="B113" s="0" t="n">
        <v>58.122</v>
      </c>
      <c r="D113" s="0" t="n">
        <f aca="false">AVERAGE($A$2:A113)</f>
        <v>0.518946147321429</v>
      </c>
      <c r="E113" s="0" t="n">
        <f aca="false">STDEV($A$2:A113)</f>
        <v>0.299834453830222</v>
      </c>
    </row>
    <row r="114" customFormat="false" ht="12.8" hidden="false" customHeight="false" outlineLevel="0" collapsed="false">
      <c r="A114" s="0" t="n">
        <v>0.381421</v>
      </c>
      <c r="B114" s="0" t="n">
        <v>58.5034</v>
      </c>
      <c r="D114" s="0" t="n">
        <f aca="false">AVERAGE($A$2:A114)</f>
        <v>0.517729110619469</v>
      </c>
      <c r="E114" s="0" t="n">
        <f aca="false">STDEV($A$2:A114)</f>
        <v>0.298773138077401</v>
      </c>
    </row>
    <row r="115" customFormat="false" ht="12.8" hidden="false" customHeight="false" outlineLevel="0" collapsed="false">
      <c r="A115" s="0" t="n">
        <v>0.85963</v>
      </c>
      <c r="B115" s="0" t="n">
        <v>59.363</v>
      </c>
      <c r="D115" s="0" t="n">
        <f aca="false">AVERAGE($A$2:A115)</f>
        <v>0.52072824122807</v>
      </c>
      <c r="E115" s="0" t="n">
        <f aca="false">STDEV($A$2:A115)</f>
        <v>0.299166900363162</v>
      </c>
    </row>
    <row r="116" customFormat="false" ht="12.8" hidden="false" customHeight="false" outlineLevel="0" collapsed="false">
      <c r="A116" s="0" t="n">
        <v>0.376067</v>
      </c>
      <c r="B116" s="0" t="n">
        <v>59.7391</v>
      </c>
      <c r="D116" s="0" t="n">
        <f aca="false">AVERAGE($A$2:A116)</f>
        <v>0.519470317391304</v>
      </c>
      <c r="E116" s="0" t="n">
        <f aca="false">STDEV($A$2:A116)</f>
        <v>0.29815719353894</v>
      </c>
    </row>
    <row r="117" customFormat="false" ht="12.8" hidden="false" customHeight="false" outlineLevel="0" collapsed="false">
      <c r="A117" s="0" t="n">
        <v>0.708826</v>
      </c>
      <c r="B117" s="0" t="n">
        <v>60.4479</v>
      </c>
      <c r="D117" s="0" t="n">
        <f aca="false">AVERAGE($A$2:A117)</f>
        <v>0.521102693965517</v>
      </c>
      <c r="E117" s="0" t="n">
        <f aca="false">STDEV($A$2:A117)</f>
        <v>0.297378190619924</v>
      </c>
    </row>
    <row r="118" customFormat="false" ht="12.8" hidden="false" customHeight="false" outlineLevel="0" collapsed="false">
      <c r="A118" s="0" t="n">
        <v>0.414173</v>
      </c>
      <c r="B118" s="0" t="n">
        <v>60.8621</v>
      </c>
      <c r="D118" s="0" t="n">
        <f aca="false">AVERAGE($A$2:A118)</f>
        <v>0.520188764957265</v>
      </c>
      <c r="E118" s="0" t="n">
        <f aca="false">STDEV($A$2:A118)</f>
        <v>0.296258593397642</v>
      </c>
    </row>
    <row r="119" customFormat="false" ht="12.8" hidden="false" customHeight="false" outlineLevel="0" collapsed="false">
      <c r="A119" s="0" t="n">
        <v>0.325974</v>
      </c>
      <c r="B119" s="0" t="n">
        <v>61.1881</v>
      </c>
      <c r="D119" s="0" t="n">
        <f aca="false">AVERAGE($A$2:A119)</f>
        <v>0.518542877118644</v>
      </c>
      <c r="E119" s="0" t="n">
        <f aca="false">STDEV($A$2:A119)</f>
        <v>0.295531125553446</v>
      </c>
    </row>
    <row r="120" customFormat="false" ht="12.8" hidden="false" customHeight="false" outlineLevel="0" collapsed="false">
      <c r="A120" s="0" t="n">
        <v>0.321785</v>
      </c>
      <c r="B120" s="0" t="n">
        <v>61.5098</v>
      </c>
      <c r="D120" s="0" t="n">
        <f aca="false">AVERAGE($A$2:A120)</f>
        <v>0.516889449579832</v>
      </c>
      <c r="E120" s="0" t="n">
        <f aca="false">STDEV($A$2:A120)</f>
        <v>0.294828446804232</v>
      </c>
    </row>
    <row r="121" customFormat="false" ht="12.8" hidden="false" customHeight="false" outlineLevel="0" collapsed="false">
      <c r="A121" s="0" t="n">
        <v>0.490433</v>
      </c>
      <c r="B121" s="0" t="n">
        <v>62.0003</v>
      </c>
      <c r="D121" s="0" t="n">
        <f aca="false">AVERAGE($A$2:A121)</f>
        <v>0.516668979166667</v>
      </c>
      <c r="E121" s="0" t="n">
        <f aca="false">STDEV($A$2:A121)</f>
        <v>0.293596991978636</v>
      </c>
    </row>
    <row r="122" customFormat="false" ht="12.8" hidden="false" customHeight="false" outlineLevel="0" collapsed="false">
      <c r="A122" s="0" t="n">
        <v>0.314678</v>
      </c>
      <c r="B122" s="0" t="n">
        <v>62.315</v>
      </c>
      <c r="D122" s="0" t="n">
        <f aca="false">AVERAGE($A$2:A122)</f>
        <v>0.514999632231405</v>
      </c>
      <c r="E122" s="0" t="n">
        <f aca="false">STDEV($A$2:A122)</f>
        <v>0.292947196789401</v>
      </c>
    </row>
    <row r="123" customFormat="false" ht="12.8" hidden="false" customHeight="false" outlineLevel="0" collapsed="false">
      <c r="A123" s="0" t="n">
        <v>0.298517</v>
      </c>
      <c r="B123" s="0" t="n">
        <v>62.6135</v>
      </c>
      <c r="D123" s="0" t="n">
        <f aca="false">AVERAGE($A$2:A123)</f>
        <v>0.51322518442623</v>
      </c>
      <c r="E123" s="0" t="n">
        <f aca="false">STDEV($A$2:A123)</f>
        <v>0.292391786943851</v>
      </c>
    </row>
    <row r="124" customFormat="false" ht="12.8" hidden="false" customHeight="false" outlineLevel="0" collapsed="false">
      <c r="A124" s="0" t="n">
        <v>0.512092</v>
      </c>
      <c r="B124" s="0" t="n">
        <v>63.1256</v>
      </c>
      <c r="D124" s="0" t="n">
        <f aca="false">AVERAGE($A$2:A124)</f>
        <v>0.513215971544715</v>
      </c>
      <c r="E124" s="0" t="n">
        <f aca="false">STDEV($A$2:A124)</f>
        <v>0.291191012170529</v>
      </c>
    </row>
    <row r="125" customFormat="false" ht="12.8" hidden="false" customHeight="false" outlineLevel="0" collapsed="false">
      <c r="A125" s="0" t="n">
        <v>0.500782</v>
      </c>
      <c r="B125" s="0" t="n">
        <v>63.6263</v>
      </c>
      <c r="D125" s="0" t="n">
        <f aca="false">AVERAGE($A$2:A125)</f>
        <v>0.513115697580645</v>
      </c>
      <c r="E125" s="0" t="n">
        <f aca="false">STDEV($A$2:A125)</f>
        <v>0.290007042755107</v>
      </c>
    </row>
    <row r="126" customFormat="false" ht="12.8" hidden="false" customHeight="false" outlineLevel="0" collapsed="false">
      <c r="A126" s="0" t="n">
        <v>0.0782147</v>
      </c>
      <c r="B126" s="0" t="n">
        <v>63.7046</v>
      </c>
      <c r="D126" s="0" t="n">
        <f aca="false">AVERAGE($A$2:A126)</f>
        <v>0.5096364896</v>
      </c>
      <c r="E126" s="0" t="n">
        <f aca="false">STDEV($A$2:A126)</f>
        <v>0.291442853953164</v>
      </c>
    </row>
    <row r="127" customFormat="false" ht="12.8" hidden="false" customHeight="false" outlineLevel="0" collapsed="false">
      <c r="A127" s="0" t="n">
        <v>0.298364</v>
      </c>
      <c r="B127" s="0" t="n">
        <v>64.0029</v>
      </c>
      <c r="D127" s="0" t="n">
        <f aca="false">AVERAGE($A$2:A127)</f>
        <v>0.507959723809524</v>
      </c>
      <c r="E127" s="0" t="n">
        <f aca="false">STDEV($A$2:A127)</f>
        <v>0.290884307081754</v>
      </c>
    </row>
    <row r="128" customFormat="false" ht="12.8" hidden="false" customHeight="false" outlineLevel="0" collapsed="false">
      <c r="A128" s="0" t="n">
        <v>0.881009</v>
      </c>
      <c r="B128" s="0" t="n">
        <v>64.8839</v>
      </c>
      <c r="D128" s="0" t="n">
        <f aca="false">AVERAGE($A$2:A128)</f>
        <v>0.510897119685039</v>
      </c>
      <c r="E128" s="0" t="n">
        <f aca="false">STDEV($A$2:A128)</f>
        <v>0.291612647818946</v>
      </c>
    </row>
    <row r="129" customFormat="false" ht="12.8" hidden="false" customHeight="false" outlineLevel="0" collapsed="false">
      <c r="A129" s="0" t="n">
        <v>0.784344</v>
      </c>
      <c r="B129" s="0" t="n">
        <v>65.6683</v>
      </c>
      <c r="D129" s="0" t="n">
        <f aca="false">AVERAGE($A$2:A129)</f>
        <v>0.5130334234375</v>
      </c>
      <c r="E129" s="0" t="n">
        <f aca="false">STDEV($A$2:A129)</f>
        <v>0.291466141969098</v>
      </c>
    </row>
    <row r="130" customFormat="false" ht="12.8" hidden="false" customHeight="false" outlineLevel="0" collapsed="false">
      <c r="A130" s="0" t="n">
        <v>0.0806682</v>
      </c>
      <c r="B130" s="0" t="n">
        <v>65.7489</v>
      </c>
      <c r="D130" s="0" t="n">
        <f aca="false">AVERAGE($A$2:A130)</f>
        <v>0.50968175503876</v>
      </c>
      <c r="E130" s="0" t="n">
        <f aca="false">STDEV($A$2:A130)</f>
        <v>0.292810459634094</v>
      </c>
    </row>
    <row r="131" customFormat="false" ht="12.8" hidden="false" customHeight="false" outlineLevel="0" collapsed="false">
      <c r="A131" s="0" t="n">
        <v>0.312922</v>
      </c>
      <c r="B131" s="0" t="n">
        <v>66.0619</v>
      </c>
      <c r="D131" s="0" t="n">
        <f aca="false">AVERAGE($A$2:A131)</f>
        <v>0.508168218461538</v>
      </c>
      <c r="E131" s="0" t="n">
        <f aca="false">STDEV($A$2:A131)</f>
        <v>0.29218338927394</v>
      </c>
    </row>
    <row r="132" customFormat="false" ht="12.8" hidden="false" customHeight="false" outlineLevel="0" collapsed="false">
      <c r="A132" s="0" t="n">
        <v>0.0663043</v>
      </c>
      <c r="B132" s="0" t="n">
        <v>66.1282</v>
      </c>
      <c r="D132" s="0" t="n">
        <f aca="false">AVERAGE($A$2:A132)</f>
        <v>0.504795211450382</v>
      </c>
      <c r="E132" s="0" t="n">
        <f aca="false">STDEV($A$2:A132)</f>
        <v>0.293606611028647</v>
      </c>
    </row>
    <row r="133" customFormat="false" ht="12.8" hidden="false" customHeight="false" outlineLevel="0" collapsed="false">
      <c r="A133" s="0" t="n">
        <v>0.0395537</v>
      </c>
      <c r="B133" s="0" t="n">
        <v>66.1677</v>
      </c>
      <c r="D133" s="0" t="n">
        <f aca="false">AVERAGE($A$2:A133)</f>
        <v>0.501270654545455</v>
      </c>
      <c r="E133" s="0" t="n">
        <f aca="false">STDEV($A$2:A133)</f>
        <v>0.295273703522778</v>
      </c>
    </row>
    <row r="134" customFormat="false" ht="12.8" hidden="false" customHeight="false" outlineLevel="0" collapsed="false">
      <c r="A134" s="0" t="n">
        <v>0.572613</v>
      </c>
      <c r="B134" s="0" t="n">
        <v>66.7403</v>
      </c>
      <c r="D134" s="0" t="n">
        <f aca="false">AVERAGE($A$2:A134)</f>
        <v>0.501807063157895</v>
      </c>
      <c r="E134" s="0" t="n">
        <f aca="false">STDEV($A$2:A134)</f>
        <v>0.294218157832291</v>
      </c>
    </row>
    <row r="135" customFormat="false" ht="12.8" hidden="false" customHeight="false" outlineLevel="0" collapsed="false">
      <c r="A135" s="0" t="n">
        <v>0.806597</v>
      </c>
      <c r="B135" s="0" t="n">
        <v>67.5469</v>
      </c>
      <c r="D135" s="0" t="n">
        <f aca="false">AVERAGE($A$2:A135)</f>
        <v>0.504081614925373</v>
      </c>
      <c r="E135" s="0" t="n">
        <f aca="false">STDEV($A$2:A135)</f>
        <v>0.29429020592918</v>
      </c>
    </row>
    <row r="136" customFormat="false" ht="12.8" hidden="false" customHeight="false" outlineLevel="0" collapsed="false">
      <c r="A136" s="0" t="n">
        <v>0.95176</v>
      </c>
      <c r="B136" s="0" t="n">
        <v>68.4987</v>
      </c>
      <c r="D136" s="0" t="n">
        <f aca="false">AVERAGE($A$2:A136)</f>
        <v>0.507397751111111</v>
      </c>
      <c r="E136" s="0" t="n">
        <f aca="false">STDEV($A$2:A136)</f>
        <v>0.295710955077068</v>
      </c>
    </row>
    <row r="137" customFormat="false" ht="12.8" hidden="false" customHeight="false" outlineLevel="0" collapsed="false">
      <c r="A137" s="0" t="n">
        <v>0.882406</v>
      </c>
      <c r="B137" s="0" t="n">
        <v>69.3811</v>
      </c>
      <c r="D137" s="0" t="n">
        <f aca="false">AVERAGE($A$2:A137)</f>
        <v>0.510155164705882</v>
      </c>
      <c r="E137" s="0" t="n">
        <f aca="false">STDEV($A$2:A137)</f>
        <v>0.296363427712445</v>
      </c>
    </row>
    <row r="138" customFormat="false" ht="12.8" hidden="false" customHeight="false" outlineLevel="0" collapsed="false">
      <c r="A138" s="0" t="n">
        <v>0.726409</v>
      </c>
      <c r="B138" s="0" t="n">
        <v>70.1075</v>
      </c>
      <c r="D138" s="0" t="n">
        <f aca="false">AVERAGE($A$2:A138)</f>
        <v>0.511733659854015</v>
      </c>
      <c r="E138" s="0" t="n">
        <f aca="false">STDEV($A$2:A138)</f>
        <v>0.295849317508931</v>
      </c>
    </row>
    <row r="139" customFormat="false" ht="12.8" hidden="false" customHeight="false" outlineLevel="0" collapsed="false">
      <c r="A139" s="0" t="n">
        <v>0.0862894</v>
      </c>
      <c r="B139" s="0" t="n">
        <v>70.1938</v>
      </c>
      <c r="D139" s="0" t="n">
        <f aca="false">AVERAGE($A$2:A139)</f>
        <v>0.508650730434783</v>
      </c>
      <c r="E139" s="0" t="n">
        <f aca="false">STDEV($A$2:A139)</f>
        <v>0.296984092852364</v>
      </c>
    </row>
    <row r="140" customFormat="false" ht="12.8" hidden="false" customHeight="false" outlineLevel="0" collapsed="false">
      <c r="A140" s="0" t="n">
        <v>0.331059</v>
      </c>
      <c r="B140" s="0" t="n">
        <v>70.5249</v>
      </c>
      <c r="D140" s="0" t="n">
        <f aca="false">AVERAGE($A$2:A140)</f>
        <v>0.507373092086331</v>
      </c>
      <c r="E140" s="0" t="n">
        <f aca="false">STDEV($A$2:A140)</f>
        <v>0.296289254324894</v>
      </c>
    </row>
    <row r="141" customFormat="false" ht="12.8" hidden="false" customHeight="false" outlineLevel="0" collapsed="false">
      <c r="A141" s="0" t="n">
        <v>0.998665</v>
      </c>
      <c r="B141" s="0" t="n">
        <v>71.5235</v>
      </c>
      <c r="D141" s="0" t="n">
        <f aca="false">AVERAGE($A$2:A141)</f>
        <v>0.51088232</v>
      </c>
      <c r="E141" s="0" t="n">
        <f aca="false">STDEV($A$2:A141)</f>
        <v>0.298127177620798</v>
      </c>
    </row>
    <row r="142" customFormat="false" ht="12.8" hidden="false" customHeight="false" outlineLevel="0" collapsed="false">
      <c r="A142" s="0" t="n">
        <v>0.829758</v>
      </c>
      <c r="B142" s="0" t="n">
        <v>72.3533</v>
      </c>
      <c r="D142" s="0" t="n">
        <f aca="false">AVERAGE($A$2:A142)</f>
        <v>0.51314384964539</v>
      </c>
      <c r="E142" s="0" t="n">
        <f aca="false">STDEV($A$2:A142)</f>
        <v>0.298271864286783</v>
      </c>
    </row>
    <row r="143" customFormat="false" ht="12.8" hidden="false" customHeight="false" outlineLevel="0" collapsed="false">
      <c r="A143" s="0" t="n">
        <v>0.951782</v>
      </c>
      <c r="B143" s="0" t="n">
        <v>73.3051</v>
      </c>
      <c r="D143" s="0" t="n">
        <f aca="false">AVERAGE($A$2:A143)</f>
        <v>0.516232850704225</v>
      </c>
      <c r="E143" s="0" t="n">
        <f aca="false">STDEV($A$2:A143)</f>
        <v>0.299483043680503</v>
      </c>
    </row>
    <row r="144" customFormat="false" ht="12.8" hidden="false" customHeight="false" outlineLevel="0" collapsed="false">
      <c r="A144" s="0" t="n">
        <v>0.466706</v>
      </c>
      <c r="B144" s="0" t="n">
        <v>73.7718</v>
      </c>
      <c r="D144" s="0" t="n">
        <f aca="false">AVERAGE($A$2:A144)</f>
        <v>0.515886509090909</v>
      </c>
      <c r="E144" s="0" t="n">
        <f aca="false">STDEV($A$2:A144)</f>
        <v>0.298455400830827</v>
      </c>
    </row>
    <row r="145" customFormat="false" ht="12.8" hidden="false" customHeight="false" outlineLevel="0" collapsed="false">
      <c r="A145" s="0" t="n">
        <v>0.59413</v>
      </c>
      <c r="B145" s="0" t="n">
        <v>74.3659</v>
      </c>
      <c r="D145" s="0" t="n">
        <f aca="false">AVERAGE($A$2:A145)</f>
        <v>0.516429866666667</v>
      </c>
      <c r="E145" s="0" t="n">
        <f aca="false">STDEV($A$2:A145)</f>
        <v>0.297481485140018</v>
      </c>
    </row>
    <row r="146" customFormat="false" ht="12.8" hidden="false" customHeight="false" outlineLevel="0" collapsed="false">
      <c r="A146" s="0" t="n">
        <v>0.660088</v>
      </c>
      <c r="B146" s="0" t="n">
        <v>75.026</v>
      </c>
      <c r="D146" s="0" t="n">
        <f aca="false">AVERAGE($A$2:A146)</f>
        <v>0.517420612413793</v>
      </c>
      <c r="E146" s="0" t="n">
        <f aca="false">STDEV($A$2:A146)</f>
        <v>0.29668672442432</v>
      </c>
    </row>
    <row r="147" customFormat="false" ht="12.8" hidden="false" customHeight="false" outlineLevel="0" collapsed="false">
      <c r="A147" s="0" t="n">
        <v>0.681683</v>
      </c>
      <c r="B147" s="0" t="n">
        <v>75.7077</v>
      </c>
      <c r="D147" s="0" t="n">
        <f aca="false">AVERAGE($A$2:A147)</f>
        <v>0.518545697260274</v>
      </c>
      <c r="E147" s="0" t="n">
        <f aca="false">STDEV($A$2:A147)</f>
        <v>0.295974266304486</v>
      </c>
    </row>
    <row r="148" customFormat="false" ht="12.8" hidden="false" customHeight="false" outlineLevel="0" collapsed="false">
      <c r="A148" s="0" t="n">
        <v>0.98202</v>
      </c>
      <c r="B148" s="0" t="n">
        <v>76.6897</v>
      </c>
      <c r="D148" s="0" t="n">
        <f aca="false">AVERAGE($A$2:A148)</f>
        <v>0.521698583673469</v>
      </c>
      <c r="E148" s="0" t="n">
        <f aca="false">STDEV($A$2:A148)</f>
        <v>0.297425693069249</v>
      </c>
    </row>
    <row r="149" customFormat="false" ht="12.8" hidden="false" customHeight="false" outlineLevel="0" collapsed="false">
      <c r="A149" s="0" t="n">
        <v>0.658111</v>
      </c>
      <c r="B149" s="0" t="n">
        <v>77.3478</v>
      </c>
      <c r="D149" s="0" t="n">
        <f aca="false">AVERAGE($A$2:A149)</f>
        <v>0.522620289189189</v>
      </c>
      <c r="E149" s="0" t="n">
        <f aca="false">STDEV($A$2:A149)</f>
        <v>0.296624328687849</v>
      </c>
    </row>
    <row r="150" customFormat="false" ht="12.8" hidden="false" customHeight="false" outlineLevel="0" collapsed="false">
      <c r="A150" s="0" t="n">
        <v>0.426784</v>
      </c>
      <c r="B150" s="0" t="n">
        <v>77.7746</v>
      </c>
      <c r="D150" s="0" t="n">
        <f aca="false">AVERAGE($A$2:A150)</f>
        <v>0.52197709261745</v>
      </c>
      <c r="E150" s="0" t="n">
        <f aca="false">STDEV($A$2:A150)</f>
        <v>0.295724760535416</v>
      </c>
    </row>
    <row r="151" customFormat="false" ht="17.35" hidden="false" customHeight="false" outlineLevel="0" collapsed="false">
      <c r="A151" s="4" t="n">
        <v>0.108516</v>
      </c>
      <c r="B151" s="5" t="n">
        <v>77.8831</v>
      </c>
      <c r="C151" s="5"/>
      <c r="D151" s="5" t="n">
        <f aca="false">AVERAGE($A$2:A151)</f>
        <v>0.519220685333333</v>
      </c>
      <c r="E151" s="6" t="n">
        <f aca="false">STDEV($A$2:A151)</f>
        <v>0.296657828779094</v>
      </c>
    </row>
    <row r="152" customFormat="false" ht="12.8" hidden="false" customHeight="false" outlineLevel="0" collapsed="false">
      <c r="A152" s="0" t="n">
        <v>0.620797</v>
      </c>
      <c r="B152" s="0" t="n">
        <v>78.5039</v>
      </c>
      <c r="D152" s="0" t="n">
        <f aca="false">AVERAGE($A$2:A152)</f>
        <v>0.51989337615894</v>
      </c>
      <c r="E152" s="0" t="n">
        <f aca="false">STDEV($A$2:A152)</f>
        <v>0.295782844411901</v>
      </c>
    </row>
    <row r="153" customFormat="false" ht="12.8" hidden="false" customHeight="false" outlineLevel="0" collapsed="false">
      <c r="A153" s="0" t="n">
        <v>0.162213</v>
      </c>
      <c r="B153" s="0" t="n">
        <v>78.6661</v>
      </c>
      <c r="D153" s="0" t="n">
        <f aca="false">AVERAGE($A$2:A153)</f>
        <v>0.517540215789474</v>
      </c>
      <c r="E153" s="0" t="n">
        <f aca="false">STDEV($A$2:A153)</f>
        <v>0.29622589855813</v>
      </c>
    </row>
    <row r="154" customFormat="false" ht="12.8" hidden="false" customHeight="false" outlineLevel="0" collapsed="false">
      <c r="A154" s="0" t="n">
        <v>0.649773</v>
      </c>
      <c r="B154" s="0" t="n">
        <v>79.3159</v>
      </c>
      <c r="D154" s="0" t="n">
        <f aca="false">AVERAGE($A$2:A154)</f>
        <v>0.518404482352941</v>
      </c>
      <c r="E154" s="0" t="n">
        <f aca="false">STDEV($A$2:A154)</f>
        <v>0.295443338301553</v>
      </c>
    </row>
    <row r="155" customFormat="false" ht="12.8" hidden="false" customHeight="false" outlineLevel="0" collapsed="false">
      <c r="A155" s="0" t="n">
        <v>0.952433</v>
      </c>
      <c r="B155" s="0" t="n">
        <v>80.2683</v>
      </c>
      <c r="D155" s="0" t="n">
        <f aca="false">AVERAGE($A$2:A155)</f>
        <v>0.521222849350649</v>
      </c>
      <c r="E155" s="0" t="n">
        <f aca="false">STDEV($A$2:A155)</f>
        <v>0.296545976296164</v>
      </c>
    </row>
    <row r="156" customFormat="false" ht="12.8" hidden="false" customHeight="false" outlineLevel="0" collapsed="false">
      <c r="A156" s="0" t="n">
        <v>0.231368</v>
      </c>
      <c r="B156" s="0" t="n">
        <v>80.4997</v>
      </c>
      <c r="D156" s="0" t="n">
        <f aca="false">AVERAGE($A$2:A156)</f>
        <v>0.519352818064516</v>
      </c>
      <c r="E156" s="0" t="n">
        <f aca="false">STDEV($A$2:A156)</f>
        <v>0.296497079033864</v>
      </c>
    </row>
    <row r="157" customFormat="false" ht="12.8" hidden="false" customHeight="false" outlineLevel="0" collapsed="false">
      <c r="A157" s="0" t="n">
        <v>0.582923</v>
      </c>
      <c r="B157" s="0" t="n">
        <v>81.0826</v>
      </c>
      <c r="D157" s="0" t="n">
        <f aca="false">AVERAGE($A$2:A157)</f>
        <v>0.519760319230769</v>
      </c>
      <c r="E157" s="0" t="n">
        <f aca="false">STDEV($A$2:A157)</f>
        <v>0.295582912509224</v>
      </c>
    </row>
    <row r="158" customFormat="false" ht="12.8" hidden="false" customHeight="false" outlineLevel="0" collapsed="false">
      <c r="A158" s="0" t="n">
        <v>0.00935459</v>
      </c>
      <c r="B158" s="0" t="n">
        <v>81.092</v>
      </c>
      <c r="D158" s="0" t="n">
        <f aca="false">AVERAGE($A$2:A158)</f>
        <v>0.516509327324841</v>
      </c>
      <c r="E158" s="0" t="n">
        <f aca="false">STDEV($A$2:A158)</f>
        <v>0.297436587720269</v>
      </c>
    </row>
    <row r="159" customFormat="false" ht="12.8" hidden="false" customHeight="false" outlineLevel="0" collapsed="false">
      <c r="A159" s="0" t="n">
        <v>0.562379</v>
      </c>
      <c r="B159" s="0" t="n">
        <v>81.6543</v>
      </c>
      <c r="D159" s="0" t="n">
        <f aca="false">AVERAGE($A$2:A159)</f>
        <v>0.516799641708861</v>
      </c>
      <c r="E159" s="0" t="n">
        <f aca="false">STDEV($A$2:A159)</f>
        <v>0.296510280696678</v>
      </c>
    </row>
    <row r="160" customFormat="false" ht="12.8" hidden="false" customHeight="false" outlineLevel="0" collapsed="false">
      <c r="A160" s="0" t="n">
        <v>0.683813</v>
      </c>
      <c r="B160" s="0" t="n">
        <v>82.3382</v>
      </c>
      <c r="D160" s="0" t="n">
        <f aca="false">AVERAGE($A$2:A160)</f>
        <v>0.517850040188679</v>
      </c>
      <c r="E160" s="0" t="n">
        <f aca="false">STDEV($A$2:A160)</f>
        <v>0.295867084862606</v>
      </c>
    </row>
    <row r="161" customFormat="false" ht="12.8" hidden="false" customHeight="false" outlineLevel="0" collapsed="false">
      <c r="A161" s="0" t="n">
        <v>0.779336</v>
      </c>
      <c r="B161" s="0" t="n">
        <v>83.1175</v>
      </c>
      <c r="D161" s="0" t="n">
        <f aca="false">AVERAGE($A$2:A161)</f>
        <v>0.5194843274375</v>
      </c>
      <c r="E161" s="0" t="n">
        <f aca="false">STDEV($A$2:A161)</f>
        <v>0.295658799662207</v>
      </c>
    </row>
    <row r="162" customFormat="false" ht="12.8" hidden="false" customHeight="false" outlineLevel="0" collapsed="false">
      <c r="A162" s="0" t="n">
        <v>0.355259</v>
      </c>
      <c r="B162" s="0" t="n">
        <v>83.4727</v>
      </c>
      <c r="D162" s="0" t="n">
        <f aca="false">AVERAGE($A$2:A162)</f>
        <v>0.518464294347826</v>
      </c>
      <c r="E162" s="0" t="n">
        <f aca="false">STDEV($A$2:A162)</f>
        <v>0.295017461855201</v>
      </c>
    </row>
    <row r="163" customFormat="false" ht="12.8" hidden="false" customHeight="false" outlineLevel="0" collapsed="false">
      <c r="A163" s="0" t="n">
        <v>0.899256</v>
      </c>
      <c r="B163" s="0" t="n">
        <v>84.372</v>
      </c>
      <c r="D163" s="0" t="n">
        <f aca="false">AVERAGE($A$2:A163)</f>
        <v>0.520814860432099</v>
      </c>
      <c r="E163" s="0" t="n">
        <f aca="false">STDEV($A$2:A163)</f>
        <v>0.295617636356679</v>
      </c>
    </row>
    <row r="164" customFormat="false" ht="12.8" hidden="false" customHeight="false" outlineLevel="0" collapsed="false">
      <c r="A164" s="0" t="n">
        <v>0.585291</v>
      </c>
      <c r="B164" s="0" t="n">
        <v>84.9573</v>
      </c>
      <c r="D164" s="0" t="n">
        <f aca="false">AVERAGE($A$2:A164)</f>
        <v>0.521210419570552</v>
      </c>
      <c r="E164" s="0" t="n">
        <f aca="false">STDEV($A$2:A164)</f>
        <v>0.29474709145666</v>
      </c>
    </row>
    <row r="165" customFormat="false" ht="12.8" hidden="false" customHeight="false" outlineLevel="0" collapsed="false">
      <c r="A165" s="0" t="n">
        <v>0.610567</v>
      </c>
      <c r="B165" s="0" t="n">
        <v>85.5679</v>
      </c>
      <c r="D165" s="0" t="n">
        <f aca="false">AVERAGE($A$2:A165)</f>
        <v>0.521755276768293</v>
      </c>
      <c r="E165" s="0" t="n">
        <f aca="false">STDEV($A$2:A165)</f>
        <v>0.293924401566243</v>
      </c>
    </row>
    <row r="166" customFormat="false" ht="12.8" hidden="false" customHeight="false" outlineLevel="0" collapsed="false">
      <c r="A166" s="0" t="n">
        <v>0.0559395</v>
      </c>
      <c r="B166" s="0" t="n">
        <v>85.6238</v>
      </c>
      <c r="D166" s="0" t="n">
        <f aca="false">AVERAGE($A$2:A166)</f>
        <v>0.518932150848485</v>
      </c>
      <c r="E166" s="0" t="n">
        <f aca="false">STDEV($A$2:A166)</f>
        <v>0.295262311618043</v>
      </c>
    </row>
    <row r="167" customFormat="false" ht="12.8" hidden="false" customHeight="false" outlineLevel="0" collapsed="false">
      <c r="A167" s="0" t="n">
        <v>0.0841219</v>
      </c>
      <c r="B167" s="0" t="n">
        <v>85.7079</v>
      </c>
      <c r="D167" s="0" t="n">
        <f aca="false">AVERAGE($A$2:A167)</f>
        <v>0.516312811987952</v>
      </c>
      <c r="E167" s="0" t="n">
        <f aca="false">STDEV($A$2:A167)</f>
        <v>0.296294423550026</v>
      </c>
    </row>
    <row r="168" customFormat="false" ht="12.8" hidden="false" customHeight="false" outlineLevel="0" collapsed="false">
      <c r="A168" s="0" t="n">
        <v>0.516238</v>
      </c>
      <c r="B168" s="0" t="n">
        <v>86.2242</v>
      </c>
      <c r="D168" s="0" t="n">
        <f aca="false">AVERAGE($A$2:A168)</f>
        <v>0.516312364011976</v>
      </c>
      <c r="E168" s="0" t="n">
        <f aca="false">STDEV($A$2:A168)</f>
        <v>0.295400622404254</v>
      </c>
    </row>
    <row r="169" customFormat="false" ht="12.8" hidden="false" customHeight="false" outlineLevel="0" collapsed="false">
      <c r="A169" s="0" t="n">
        <v>0.53146</v>
      </c>
      <c r="B169" s="0" t="n">
        <v>86.7556</v>
      </c>
      <c r="D169" s="0" t="n">
        <f aca="false">AVERAGE($A$2:A169)</f>
        <v>0.516402528511905</v>
      </c>
      <c r="E169" s="0" t="n">
        <f aca="false">STDEV($A$2:A169)</f>
        <v>0.294517180106323</v>
      </c>
    </row>
    <row r="170" customFormat="false" ht="12.8" hidden="false" customHeight="false" outlineLevel="0" collapsed="false">
      <c r="A170" s="0" t="n">
        <v>0.146102</v>
      </c>
      <c r="B170" s="0" t="n">
        <v>86.9017</v>
      </c>
      <c r="D170" s="0" t="n">
        <f aca="false">AVERAGE($A$2:A170)</f>
        <v>0.51421140112426</v>
      </c>
      <c r="E170" s="0" t="n">
        <f aca="false">STDEV($A$2:A170)</f>
        <v>0.295017683003875</v>
      </c>
    </row>
    <row r="171" customFormat="false" ht="12.8" hidden="false" customHeight="false" outlineLevel="0" collapsed="false">
      <c r="A171" s="0" t="n">
        <v>0.572873</v>
      </c>
      <c r="B171" s="0" t="n">
        <v>87.4746</v>
      </c>
      <c r="D171" s="0" t="n">
        <f aca="false">AVERAGE($A$2:A171)</f>
        <v>0.514556469352941</v>
      </c>
      <c r="E171" s="0" t="n">
        <f aca="false">STDEV($A$2:A171)</f>
        <v>0.294177961402914</v>
      </c>
    </row>
    <row r="172" customFormat="false" ht="12.8" hidden="false" customHeight="false" outlineLevel="0" collapsed="false">
      <c r="A172" s="0" t="n">
        <v>0.580506</v>
      </c>
      <c r="B172" s="0" t="n">
        <v>88.0551</v>
      </c>
      <c r="D172" s="0" t="n">
        <f aca="false">AVERAGE($A$2:A172)</f>
        <v>0.514942139122807</v>
      </c>
      <c r="E172" s="0" t="n">
        <f aca="false">STDEV($A$2:A172)</f>
        <v>0.293354810653029</v>
      </c>
    </row>
    <row r="173" customFormat="false" ht="12.8" hidden="false" customHeight="false" outlineLevel="0" collapsed="false">
      <c r="A173" s="0" t="n">
        <v>0.517529</v>
      </c>
      <c r="B173" s="0" t="n">
        <v>88.5726</v>
      </c>
      <c r="D173" s="0" t="n">
        <f aca="false">AVERAGE($A$2:A173)</f>
        <v>0.514957179011628</v>
      </c>
      <c r="E173" s="0" t="n">
        <f aca="false">STDEV($A$2:A173)</f>
        <v>0.292495856836751</v>
      </c>
    </row>
    <row r="174" customFormat="false" ht="12.8" hidden="false" customHeight="false" outlineLevel="0" collapsed="false">
      <c r="A174" s="0" t="n">
        <v>0.777837</v>
      </c>
      <c r="B174" s="0" t="n">
        <v>89.3505</v>
      </c>
      <c r="D174" s="0" t="n">
        <f aca="false">AVERAGE($A$2:A174)</f>
        <v>0.516476715549133</v>
      </c>
      <c r="E174" s="0" t="n">
        <f aca="false">STDEV($A$2:A174)</f>
        <v>0.292328369805196</v>
      </c>
    </row>
    <row r="175" customFormat="false" ht="12.8" hidden="false" customHeight="false" outlineLevel="0" collapsed="false">
      <c r="A175" s="0" t="n">
        <v>0.126983</v>
      </c>
      <c r="B175" s="0" t="n">
        <v>89.4774</v>
      </c>
      <c r="D175" s="0" t="n">
        <f aca="false">AVERAGE($A$2:A175)</f>
        <v>0.51423824591954</v>
      </c>
      <c r="E175" s="0" t="n">
        <f aca="false">STDEV($A$2:A175)</f>
        <v>0.292974027937935</v>
      </c>
    </row>
    <row r="176" customFormat="false" ht="12.8" hidden="false" customHeight="false" outlineLevel="0" collapsed="false">
      <c r="A176" s="0" t="n">
        <v>0.200816</v>
      </c>
      <c r="B176" s="0" t="n">
        <v>89.6783</v>
      </c>
      <c r="D176" s="0" t="n">
        <f aca="false">AVERAGE($A$2:A176)</f>
        <v>0.512447261657143</v>
      </c>
      <c r="E176" s="0" t="n">
        <f aca="false">STDEV($A$2:A176)</f>
        <v>0.293090118843822</v>
      </c>
    </row>
    <row r="177" customFormat="false" ht="12.8" hidden="false" customHeight="false" outlineLevel="0" collapsed="false">
      <c r="A177" s="0" t="n">
        <v>0.282026</v>
      </c>
      <c r="B177" s="0" t="n">
        <v>89.9603</v>
      </c>
      <c r="D177" s="0" t="n">
        <f aca="false">AVERAGE($A$2:A177)</f>
        <v>0.511138049943182</v>
      </c>
      <c r="E177" s="0" t="n">
        <f aca="false">STDEV($A$2:A177)</f>
        <v>0.292767177888358</v>
      </c>
    </row>
    <row r="178" customFormat="false" ht="12.8" hidden="false" customHeight="false" outlineLevel="0" collapsed="false">
      <c r="A178" s="0" t="n">
        <v>0.388129</v>
      </c>
      <c r="B178" s="0" t="n">
        <v>90.3484</v>
      </c>
      <c r="D178" s="0" t="n">
        <f aca="false">AVERAGE($A$2:A178)</f>
        <v>0.510443083559322</v>
      </c>
      <c r="E178" s="0" t="n">
        <f aca="false">STDEV($A$2:A178)</f>
        <v>0.292080646531155</v>
      </c>
    </row>
    <row r="179" customFormat="false" ht="12.8" hidden="false" customHeight="false" outlineLevel="0" collapsed="false">
      <c r="A179" s="0" t="n">
        <v>0.617838</v>
      </c>
      <c r="B179" s="0" t="n">
        <v>90.9663</v>
      </c>
      <c r="D179" s="0" t="n">
        <f aca="false">AVERAGE($A$2:A179)</f>
        <v>0.511046425786517</v>
      </c>
      <c r="E179" s="0" t="n">
        <f aca="false">STDEV($A$2:A179)</f>
        <v>0.291365605944273</v>
      </c>
    </row>
    <row r="180" customFormat="false" ht="12.8" hidden="false" customHeight="false" outlineLevel="0" collapsed="false">
      <c r="A180" s="0" t="n">
        <v>0.73772</v>
      </c>
      <c r="B180" s="0" t="n">
        <v>91.704</v>
      </c>
      <c r="D180" s="0" t="n">
        <f aca="false">AVERAGE($A$2:A180)</f>
        <v>0.512312758603352</v>
      </c>
      <c r="E180" s="0" t="n">
        <f aca="false">STDEV($A$2:A180)</f>
        <v>0.291039565005879</v>
      </c>
    </row>
    <row r="181" customFormat="false" ht="12.8" hidden="false" customHeight="false" outlineLevel="0" collapsed="false">
      <c r="A181" s="0" t="n">
        <v>0.984708</v>
      </c>
      <c r="B181" s="0" t="n">
        <v>92.6887</v>
      </c>
      <c r="D181" s="0" t="n">
        <f aca="false">AVERAGE($A$2:A181)</f>
        <v>0.514937176611111</v>
      </c>
      <c r="E181" s="0" t="n">
        <f aca="false">STDEV($A$2:A181)</f>
        <v>0.292353525914344</v>
      </c>
    </row>
    <row r="182" customFormat="false" ht="12.8" hidden="false" customHeight="false" outlineLevel="0" collapsed="false">
      <c r="A182" s="0" t="n">
        <v>0.1668</v>
      </c>
      <c r="B182" s="0" t="n">
        <v>92.8555</v>
      </c>
      <c r="D182" s="0" t="n">
        <f aca="false">AVERAGE($A$2:A182)</f>
        <v>0.51301376679558</v>
      </c>
      <c r="E182" s="0" t="n">
        <f aca="false">STDEV($A$2:A182)</f>
        <v>0.292686449974678</v>
      </c>
    </row>
    <row r="183" customFormat="false" ht="12.8" hidden="false" customHeight="false" outlineLevel="0" collapsed="false">
      <c r="A183" s="0" t="n">
        <v>0.847617</v>
      </c>
      <c r="B183" s="0" t="n">
        <v>93.7031</v>
      </c>
      <c r="D183" s="0" t="n">
        <f aca="false">AVERAGE($A$2:A183)</f>
        <v>0.514852246098901</v>
      </c>
      <c r="E183" s="0" t="n">
        <f aca="false">STDEV($A$2:A183)</f>
        <v>0.292928711203151</v>
      </c>
    </row>
    <row r="184" customFormat="false" ht="12.8" hidden="false" customHeight="false" outlineLevel="0" collapsed="false">
      <c r="A184" s="0" t="n">
        <v>0.173706</v>
      </c>
      <c r="B184" s="0" t="n">
        <v>93.8768</v>
      </c>
      <c r="D184" s="0" t="n">
        <f aca="false">AVERAGE($A$2:A184)</f>
        <v>0.512988058961749</v>
      </c>
      <c r="E184" s="0" t="n">
        <f aca="false">STDEV($A$2:A184)</f>
        <v>0.293209348410212</v>
      </c>
    </row>
    <row r="185" customFormat="false" ht="12.8" hidden="false" customHeight="false" outlineLevel="0" collapsed="false">
      <c r="A185" s="0" t="n">
        <v>0.350287</v>
      </c>
      <c r="B185" s="0" t="n">
        <v>94.2271</v>
      </c>
      <c r="D185" s="0" t="n">
        <f aca="false">AVERAGE($A$2:A185)</f>
        <v>0.512103814076087</v>
      </c>
      <c r="E185" s="0" t="n">
        <f aca="false">STDEV($A$2:A185)</f>
        <v>0.292653034742244</v>
      </c>
    </row>
    <row r="186" customFormat="false" ht="12.8" hidden="false" customHeight="false" outlineLevel="0" collapsed="false">
      <c r="A186" s="0" t="n">
        <v>0.227376</v>
      </c>
      <c r="B186" s="0" t="n">
        <v>94.4545</v>
      </c>
      <c r="D186" s="0" t="n">
        <f aca="false">AVERAGE($A$2:A186)</f>
        <v>0.510564744810811</v>
      </c>
      <c r="E186" s="0" t="n">
        <f aca="false">STDEV($A$2:A186)</f>
        <v>0.292606473397186</v>
      </c>
    </row>
    <row r="187" customFormat="false" ht="12.8" hidden="false" customHeight="false" outlineLevel="0" collapsed="false">
      <c r="A187" s="0" t="n">
        <v>0.406313</v>
      </c>
      <c r="B187" s="0" t="n">
        <v>94.8608</v>
      </c>
      <c r="D187" s="0" t="n">
        <f aca="false">AVERAGE($A$2:A187)</f>
        <v>0.51000425155914</v>
      </c>
      <c r="E187" s="0" t="n">
        <f aca="false">STDEV($A$2:A187)</f>
        <v>0.29191467539289</v>
      </c>
    </row>
    <row r="188" customFormat="false" ht="12.8" hidden="false" customHeight="false" outlineLevel="0" collapsed="false">
      <c r="A188" s="0" t="n">
        <v>0.952343</v>
      </c>
      <c r="B188" s="0" t="n">
        <v>95.8131</v>
      </c>
      <c r="D188" s="0" t="n">
        <f aca="false">AVERAGE($A$2:A188)</f>
        <v>0.512369699411765</v>
      </c>
      <c r="E188" s="0" t="n">
        <f aca="false">STDEV($A$2:A188)</f>
        <v>0.292920409346966</v>
      </c>
    </row>
    <row r="189" customFormat="false" ht="12.8" hidden="false" customHeight="false" outlineLevel="0" collapsed="false">
      <c r="A189" s="0" t="n">
        <v>0.919231</v>
      </c>
      <c r="B189" s="0" t="n">
        <v>96.7324</v>
      </c>
      <c r="D189" s="0" t="n">
        <f aca="false">AVERAGE($A$2:A189)</f>
        <v>0.514533855265958</v>
      </c>
      <c r="E189" s="0" t="n">
        <f aca="false">STDEV($A$2:A189)</f>
        <v>0.293639304750836</v>
      </c>
    </row>
    <row r="190" customFormat="false" ht="12.8" hidden="false" customHeight="false" outlineLevel="0" collapsed="false">
      <c r="A190" s="0" t="n">
        <v>0.53102</v>
      </c>
      <c r="B190" s="0" t="n">
        <v>97.2634</v>
      </c>
      <c r="D190" s="0" t="n">
        <f aca="false">AVERAGE($A$2:A190)</f>
        <v>0.514621083544974</v>
      </c>
      <c r="E190" s="0" t="n">
        <f aca="false">STDEV($A$2:A190)</f>
        <v>0.292859763086469</v>
      </c>
    </row>
    <row r="191" customFormat="false" ht="12.8" hidden="false" customHeight="false" outlineLevel="0" collapsed="false">
      <c r="A191" s="0" t="n">
        <v>0.334722</v>
      </c>
      <c r="B191" s="0" t="n">
        <v>97.5981</v>
      </c>
      <c r="D191" s="0" t="n">
        <f aca="false">AVERAGE($A$2:A191)</f>
        <v>0.513674246263158</v>
      </c>
      <c r="E191" s="0" t="n">
        <f aca="false">STDEV($A$2:A191)</f>
        <v>0.292375414810611</v>
      </c>
    </row>
    <row r="192" customFormat="false" ht="12.8" hidden="false" customHeight="false" outlineLevel="0" collapsed="false">
      <c r="A192" s="0" t="n">
        <v>0.71446</v>
      </c>
      <c r="B192" s="0" t="n">
        <v>98.3126</v>
      </c>
      <c r="D192" s="0" t="n">
        <f aca="false">AVERAGE($A$2:A192)</f>
        <v>0.514725480575916</v>
      </c>
      <c r="E192" s="0" t="n">
        <f aca="false">STDEV($A$2:A192)</f>
        <v>0.291966682202671</v>
      </c>
    </row>
    <row r="193" customFormat="false" ht="12.8" hidden="false" customHeight="false" outlineLevel="0" collapsed="false">
      <c r="A193" s="0" t="n">
        <v>0.752994</v>
      </c>
      <c r="B193" s="0" t="n">
        <v>99.0656</v>
      </c>
      <c r="D193" s="0" t="n">
        <f aca="false">AVERAGE($A$2:A193)</f>
        <v>0.515966462447917</v>
      </c>
      <c r="E193" s="0" t="n">
        <f aca="false">STDEV($A$2:A193)</f>
        <v>0.29170862846195</v>
      </c>
    </row>
    <row r="194" customFormat="false" ht="12.8" hidden="false" customHeight="false" outlineLevel="0" collapsed="false">
      <c r="A194" s="0" t="n">
        <v>0.746421</v>
      </c>
      <c r="B194" s="0" t="n">
        <v>99.812</v>
      </c>
      <c r="D194" s="0" t="n">
        <f aca="false">AVERAGE($A$2:A194)</f>
        <v>0.517160527409327</v>
      </c>
      <c r="E194" s="0" t="n">
        <f aca="false">STDEV($A$2:A194)</f>
        <v>0.291420493595129</v>
      </c>
    </row>
    <row r="195" customFormat="false" ht="12.8" hidden="false" customHeight="false" outlineLevel="0" collapsed="false">
      <c r="A195" s="0" t="n">
        <v>0.600008</v>
      </c>
      <c r="B195" s="0" t="n">
        <v>100.412</v>
      </c>
      <c r="D195" s="0" t="n">
        <f aca="false">AVERAGE($A$2:A195)</f>
        <v>0.517587576237114</v>
      </c>
      <c r="E195" s="0" t="n">
        <f aca="false">STDEV($A$2:A195)</f>
        <v>0.290725391756822</v>
      </c>
    </row>
    <row r="196" customFormat="false" ht="12.8" hidden="false" customHeight="false" outlineLevel="0" collapsed="false">
      <c r="A196" s="0" t="n">
        <v>0.692963</v>
      </c>
      <c r="B196" s="0" t="n">
        <v>101.105</v>
      </c>
      <c r="D196" s="0" t="n">
        <f aca="false">AVERAGE($A$2:A196)</f>
        <v>0.518486937384615</v>
      </c>
      <c r="E196" s="0" t="n">
        <f aca="false">STDEV($A$2:A196)</f>
        <v>0.290246968443319</v>
      </c>
    </row>
    <row r="197" customFormat="false" ht="12.8" hidden="false" customHeight="false" outlineLevel="0" collapsed="false">
      <c r="A197" s="0" t="n">
        <v>0.380041</v>
      </c>
      <c r="B197" s="0" t="n">
        <v>101.485</v>
      </c>
      <c r="D197" s="0" t="n">
        <f aca="false">AVERAGE($A$2:A197)</f>
        <v>0.517780580561225</v>
      </c>
      <c r="E197" s="0" t="n">
        <f aca="false">STDEV($A$2:A197)</f>
        <v>0.289670637079778</v>
      </c>
    </row>
    <row r="198" customFormat="false" ht="12.8" hidden="false" customHeight="false" outlineLevel="0" collapsed="false">
      <c r="A198" s="0" t="n">
        <v>0.851638</v>
      </c>
      <c r="B198" s="0" t="n">
        <v>102.337</v>
      </c>
      <c r="D198" s="0" t="n">
        <f aca="false">AVERAGE($A$2:A198)</f>
        <v>0.519475288274112</v>
      </c>
      <c r="E198" s="0" t="n">
        <f aca="false">STDEV($A$2:A198)</f>
        <v>0.289908194415381</v>
      </c>
    </row>
    <row r="199" customFormat="false" ht="12.8" hidden="false" customHeight="false" outlineLevel="0" collapsed="false">
      <c r="A199" s="0" t="n">
        <v>0.174106</v>
      </c>
      <c r="B199" s="0" t="n">
        <v>102.511</v>
      </c>
      <c r="D199" s="0" t="n">
        <f aca="false">AVERAGE($A$2:A199)</f>
        <v>0.517730998939394</v>
      </c>
      <c r="E199" s="0" t="n">
        <f aca="false">STDEV($A$2:A199)</f>
        <v>0.290211219372602</v>
      </c>
    </row>
    <row r="200" customFormat="false" ht="12.8" hidden="false" customHeight="false" outlineLevel="0" collapsed="false">
      <c r="A200" s="0" t="n">
        <v>0.7634</v>
      </c>
      <c r="B200" s="0" t="n">
        <v>103.274</v>
      </c>
      <c r="D200" s="0" t="n">
        <f aca="false">AVERAGE($A$2:A200)</f>
        <v>0.518965516532663</v>
      </c>
      <c r="E200" s="0" t="n">
        <f aca="false">STDEV($A$2:A200)</f>
        <v>0.290000807119876</v>
      </c>
    </row>
    <row r="201" customFormat="false" ht="17.35" hidden="false" customHeight="false" outlineLevel="0" collapsed="false">
      <c r="A201" s="4" t="n">
        <v>0.219235</v>
      </c>
      <c r="B201" s="5" t="n">
        <v>103.493</v>
      </c>
      <c r="C201" s="5"/>
      <c r="D201" s="5" t="n">
        <f aca="false">AVERAGE($A$2:A201)</f>
        <v>0.51746686395</v>
      </c>
      <c r="E201" s="6" t="n">
        <f aca="false">STDEV($A$2:A201)</f>
        <v>0.290046624915969</v>
      </c>
    </row>
    <row r="202" customFormat="false" ht="12.8" hidden="false" customHeight="false" outlineLevel="0" collapsed="false">
      <c r="A202" s="0" t="n">
        <v>0.321739</v>
      </c>
      <c r="B202" s="0" t="n">
        <v>103.815</v>
      </c>
      <c r="D202" s="0" t="n">
        <f aca="false">AVERAGE($A$2:A202)</f>
        <v>0.516493093482587</v>
      </c>
      <c r="E202" s="0" t="n">
        <f aca="false">STDEV($A$2:A202)</f>
        <v>0.28964979443387</v>
      </c>
    </row>
    <row r="203" customFormat="false" ht="12.8" hidden="false" customHeight="false" outlineLevel="0" collapsed="false">
      <c r="A203" s="0" t="n">
        <v>0.814461</v>
      </c>
      <c r="B203" s="0" t="n">
        <v>104.63</v>
      </c>
      <c r="D203" s="0" t="n">
        <f aca="false">AVERAGE($A$2:A203)</f>
        <v>0.517968182128713</v>
      </c>
      <c r="E203" s="0" t="n">
        <f aca="false">STDEV($A$2:A203)</f>
        <v>0.289687995029918</v>
      </c>
    </row>
    <row r="204" customFormat="false" ht="12.8" hidden="false" customHeight="false" outlineLevel="0" collapsed="false">
      <c r="A204" s="0" t="n">
        <v>0.408474</v>
      </c>
      <c r="B204" s="0" t="n">
        <v>105.038</v>
      </c>
      <c r="D204" s="0" t="n">
        <f aca="false">AVERAGE($A$2:A204)</f>
        <v>0.517428801921182</v>
      </c>
      <c r="E204" s="0" t="n">
        <f aca="false">STDEV($A$2:A204)</f>
        <v>0.289072226613711</v>
      </c>
    </row>
    <row r="205" customFormat="false" ht="12.8" hidden="false" customHeight="false" outlineLevel="0" collapsed="false">
      <c r="A205" s="0" t="n">
        <v>0.143596</v>
      </c>
      <c r="B205" s="0" t="n">
        <v>105.182</v>
      </c>
      <c r="D205" s="0" t="n">
        <f aca="false">AVERAGE($A$2:A205)</f>
        <v>0.515596288186275</v>
      </c>
      <c r="E205" s="0" t="n">
        <f aca="false">STDEV($A$2:A205)</f>
        <v>0.289544757801091</v>
      </c>
    </row>
    <row r="206" customFormat="false" ht="12.8" hidden="false" customHeight="false" outlineLevel="0" collapsed="false">
      <c r="A206" s="0" t="n">
        <v>0.814535</v>
      </c>
      <c r="B206" s="0" t="n">
        <v>105.996</v>
      </c>
      <c r="D206" s="0" t="n">
        <f aca="false">AVERAGE($A$2:A206)</f>
        <v>0.517054525804878</v>
      </c>
      <c r="E206" s="0" t="n">
        <f aca="false">STDEV($A$2:A206)</f>
        <v>0.289587860317904</v>
      </c>
    </row>
    <row r="207" customFormat="false" ht="12.8" hidden="false" customHeight="false" outlineLevel="0" collapsed="false">
      <c r="A207" s="0" t="n">
        <v>0.537004</v>
      </c>
      <c r="B207" s="0" t="n">
        <v>106.533</v>
      </c>
      <c r="D207" s="0" t="n">
        <f aca="false">AVERAGE($A$2:A207)</f>
        <v>0.517151367912621</v>
      </c>
      <c r="E207" s="0" t="n">
        <f aca="false">STDEV($A$2:A207)</f>
        <v>0.28888402883397</v>
      </c>
    </row>
    <row r="208" customFormat="false" ht="12.8" hidden="false" customHeight="false" outlineLevel="0" collapsed="false">
      <c r="A208" s="0" t="n">
        <v>0.340193</v>
      </c>
      <c r="B208" s="0" t="n">
        <v>106.873</v>
      </c>
      <c r="D208" s="0" t="n">
        <f aca="false">AVERAGE($A$2:A208)</f>
        <v>0.516296496570048</v>
      </c>
      <c r="E208" s="0" t="n">
        <f aca="false">STDEV($A$2:A208)</f>
        <v>0.288444348765697</v>
      </c>
    </row>
    <row r="209" customFormat="false" ht="12.8" hidden="false" customHeight="false" outlineLevel="0" collapsed="false">
      <c r="A209" s="0" t="n">
        <v>0.328503</v>
      </c>
      <c r="B209" s="0" t="n">
        <v>107.202</v>
      </c>
      <c r="D209" s="0" t="n">
        <f aca="false">AVERAGE($A$2:A209)</f>
        <v>0.515393643221154</v>
      </c>
      <c r="E209" s="0" t="n">
        <f aca="false">STDEV($A$2:A209)</f>
        <v>0.288041245774608</v>
      </c>
    </row>
    <row r="210" customFormat="false" ht="12.8" hidden="false" customHeight="false" outlineLevel="0" collapsed="false">
      <c r="A210" s="0" t="n">
        <v>0.666188</v>
      </c>
      <c r="B210" s="0" t="n">
        <v>107.868</v>
      </c>
      <c r="D210" s="0" t="n">
        <f aca="false">AVERAGE($A$2:A210)</f>
        <v>0.516115147320574</v>
      </c>
      <c r="E210" s="0" t="n">
        <f aca="false">STDEV($A$2:A210)</f>
        <v>0.287537257683169</v>
      </c>
    </row>
    <row r="211" customFormat="false" ht="12.8" hidden="false" customHeight="false" outlineLevel="0" collapsed="false">
      <c r="A211" s="0" t="n">
        <v>0.0186037</v>
      </c>
      <c r="B211" s="0" t="n">
        <v>107.887</v>
      </c>
      <c r="D211" s="0" t="n">
        <f aca="false">AVERAGE($A$2:A211)</f>
        <v>0.513746045190476</v>
      </c>
      <c r="E211" s="0" t="n">
        <f aca="false">STDEV($A$2:A211)</f>
        <v>0.288895730369894</v>
      </c>
    </row>
    <row r="212" customFormat="false" ht="12.8" hidden="false" customHeight="false" outlineLevel="0" collapsed="false">
      <c r="A212" s="0" t="n">
        <v>0.18108</v>
      </c>
      <c r="B212" s="0" t="n">
        <v>108.068</v>
      </c>
      <c r="D212" s="0" t="n">
        <f aca="false">AVERAGE($A$2:A212)</f>
        <v>0.512169428862559</v>
      </c>
      <c r="E212" s="0" t="n">
        <f aca="false">STDEV($A$2:A212)</f>
        <v>0.289115543744881</v>
      </c>
    </row>
    <row r="213" customFormat="false" ht="12.8" hidden="false" customHeight="false" outlineLevel="0" collapsed="false">
      <c r="A213" s="0" t="n">
        <v>0.325345</v>
      </c>
      <c r="B213" s="0" t="n">
        <v>108.393</v>
      </c>
      <c r="D213" s="0" t="n">
        <f aca="false">AVERAGE($A$2:A213)</f>
        <v>0.511288181556604</v>
      </c>
      <c r="E213" s="0" t="n">
        <f aca="false">STDEV($A$2:A213)</f>
        <v>0.288714886107088</v>
      </c>
    </row>
    <row r="214" customFormat="false" ht="12.8" hidden="false" customHeight="false" outlineLevel="0" collapsed="false">
      <c r="A214" s="0" t="n">
        <v>0.916683</v>
      </c>
      <c r="B214" s="0" t="n">
        <v>109.31</v>
      </c>
      <c r="D214" s="0" t="n">
        <f aca="false">AVERAGE($A$2:A214)</f>
        <v>0.513191443615023</v>
      </c>
      <c r="E214" s="0" t="n">
        <f aca="false">STDEV($A$2:A214)</f>
        <v>0.289369431714371</v>
      </c>
    </row>
    <row r="215" customFormat="false" ht="12.8" hidden="false" customHeight="false" outlineLevel="0" collapsed="false">
      <c r="A215" s="0" t="n">
        <v>0.179881</v>
      </c>
      <c r="B215" s="0" t="n">
        <v>109.49</v>
      </c>
      <c r="D215" s="0" t="n">
        <f aca="false">AVERAGE($A$2:A215)</f>
        <v>0.51163391817757</v>
      </c>
      <c r="E215" s="0" t="n">
        <f aca="false">STDEV($A$2:A215)</f>
        <v>0.289587097430298</v>
      </c>
    </row>
    <row r="216" customFormat="false" ht="12.8" hidden="false" customHeight="false" outlineLevel="0" collapsed="false">
      <c r="A216" s="0" t="n">
        <v>0.294887</v>
      </c>
      <c r="B216" s="0" t="n">
        <v>109.785</v>
      </c>
      <c r="D216" s="0" t="n">
        <f aca="false">AVERAGE($A$2:A216)</f>
        <v>0.510625792976744</v>
      </c>
      <c r="E216" s="0" t="n">
        <f aca="false">STDEV($A$2:A216)</f>
        <v>0.289287612350358</v>
      </c>
    </row>
    <row r="217" customFormat="false" ht="12.8" hidden="false" customHeight="false" outlineLevel="0" collapsed="false">
      <c r="A217" s="0" t="n">
        <v>0.905469</v>
      </c>
      <c r="B217" s="0" t="n">
        <v>110.69</v>
      </c>
      <c r="D217" s="0" t="n">
        <f aca="false">AVERAGE($A$2:A217)</f>
        <v>0.512453770787037</v>
      </c>
      <c r="E217" s="0" t="n">
        <f aca="false">STDEV($A$2:A217)</f>
        <v>0.289861766915107</v>
      </c>
    </row>
    <row r="218" customFormat="false" ht="12.8" hidden="false" customHeight="false" outlineLevel="0" collapsed="false">
      <c r="A218" s="0" t="n">
        <v>0.712882</v>
      </c>
      <c r="B218" s="0" t="n">
        <v>111.403</v>
      </c>
      <c r="D218" s="0" t="n">
        <f aca="false">AVERAGE($A$2:A218)</f>
        <v>0.513377403179724</v>
      </c>
      <c r="E218" s="0" t="n">
        <f aca="false">STDEV($A$2:A218)</f>
        <v>0.289509905124458</v>
      </c>
    </row>
    <row r="219" customFormat="false" ht="12.8" hidden="false" customHeight="false" outlineLevel="0" collapsed="false">
      <c r="A219" s="0" t="n">
        <v>0.675327</v>
      </c>
      <c r="B219" s="0" t="n">
        <v>112.078</v>
      </c>
      <c r="D219" s="0" t="n">
        <f aca="false">AVERAGE($A$2:A219)</f>
        <v>0.514120291238532</v>
      </c>
      <c r="E219" s="0" t="n">
        <f aca="false">STDEV($A$2:A219)</f>
        <v>0.289050249623169</v>
      </c>
    </row>
    <row r="220" customFormat="false" ht="12.8" hidden="false" customHeight="false" outlineLevel="0" collapsed="false">
      <c r="A220" s="0" t="n">
        <v>0.392521</v>
      </c>
      <c r="B220" s="0" t="n">
        <v>112.471</v>
      </c>
      <c r="D220" s="0" t="n">
        <f aca="false">AVERAGE($A$2:A220)</f>
        <v>0.513565043333333</v>
      </c>
      <c r="E220" s="0" t="n">
        <f aca="false">STDEV($A$2:A220)</f>
        <v>0.288503565772599</v>
      </c>
    </row>
    <row r="221" customFormat="false" ht="12.8" hidden="false" customHeight="false" outlineLevel="0" collapsed="false">
      <c r="A221" s="0" t="n">
        <v>0.754776</v>
      </c>
      <c r="B221" s="0" t="n">
        <v>113.226</v>
      </c>
      <c r="D221" s="0" t="n">
        <f aca="false">AVERAGE($A$2:A221)</f>
        <v>0.514661456772727</v>
      </c>
      <c r="E221" s="0" t="n">
        <f aca="false">STDEV($A$2:A221)</f>
        <v>0.288303154799317</v>
      </c>
    </row>
    <row r="222" customFormat="false" ht="12.8" hidden="false" customHeight="false" outlineLevel="0" collapsed="false">
      <c r="A222" s="0" t="n">
        <v>0.867366</v>
      </c>
      <c r="B222" s="0" t="n">
        <v>114.093</v>
      </c>
      <c r="D222" s="0" t="n">
        <f aca="false">AVERAGE($A$2:A222)</f>
        <v>0.516257404932127</v>
      </c>
      <c r="E222" s="0" t="n">
        <f aca="false">STDEV($A$2:A222)</f>
        <v>0.288623968027384</v>
      </c>
    </row>
    <row r="223" customFormat="false" ht="12.8" hidden="false" customHeight="false" outlineLevel="0" collapsed="false">
      <c r="A223" s="0" t="n">
        <v>0.0285797</v>
      </c>
      <c r="B223" s="0" t="n">
        <v>114.121</v>
      </c>
      <c r="D223" s="0" t="n">
        <f aca="false">AVERAGE($A$2:A223)</f>
        <v>0.514060658513514</v>
      </c>
      <c r="E223" s="0" t="n">
        <f aca="false">STDEV($A$2:A223)</f>
        <v>0.289824358747006</v>
      </c>
    </row>
    <row r="224" customFormat="false" ht="12.8" hidden="false" customHeight="false" outlineLevel="0" collapsed="false">
      <c r="A224" s="0" t="n">
        <v>0.268698</v>
      </c>
      <c r="B224" s="0" t="n">
        <v>114.39</v>
      </c>
      <c r="D224" s="0" t="n">
        <f aca="false">AVERAGE($A$2:A224)</f>
        <v>0.512960377533632</v>
      </c>
      <c r="E224" s="0" t="n">
        <f aca="false">STDEV($A$2:A224)</f>
        <v>0.289637284727312</v>
      </c>
    </row>
    <row r="225" customFormat="false" ht="12.8" hidden="false" customHeight="false" outlineLevel="0" collapsed="false">
      <c r="A225" s="0" t="n">
        <v>0.0974806</v>
      </c>
      <c r="B225" s="0" t="n">
        <v>114.488</v>
      </c>
      <c r="D225" s="0" t="n">
        <f aca="false">AVERAGE($A$2:A225)</f>
        <v>0.511105557098214</v>
      </c>
      <c r="E225" s="0" t="n">
        <f aca="false">STDEV($A$2:A225)</f>
        <v>0.290317429439376</v>
      </c>
    </row>
    <row r="226" customFormat="false" ht="12.8" hidden="false" customHeight="false" outlineLevel="0" collapsed="false">
      <c r="A226" s="0" t="n">
        <v>0.326727</v>
      </c>
      <c r="B226" s="0" t="n">
        <v>114.814</v>
      </c>
      <c r="D226" s="0" t="n">
        <f aca="false">AVERAGE($A$2:A226)</f>
        <v>0.510286096844444</v>
      </c>
      <c r="E226" s="0" t="n">
        <f aca="false">STDEV($A$2:A226)</f>
        <v>0.28992935681225</v>
      </c>
    </row>
    <row r="227" customFormat="false" ht="12.8" hidden="false" customHeight="false" outlineLevel="0" collapsed="false">
      <c r="A227" s="0" t="n">
        <v>0.755166</v>
      </c>
      <c r="B227" s="0" t="n">
        <v>115.57</v>
      </c>
      <c r="D227" s="0" t="n">
        <f aca="false">AVERAGE($A$2:A227)</f>
        <v>0.511369636238938</v>
      </c>
      <c r="E227" s="0" t="n">
        <f aca="false">STDEV($A$2:A227)</f>
        <v>0.289742598293788</v>
      </c>
    </row>
    <row r="228" customFormat="false" ht="12.8" hidden="false" customHeight="false" outlineLevel="0" collapsed="false">
      <c r="A228" s="0" t="n">
        <v>0.763165</v>
      </c>
      <c r="B228" s="0" t="n">
        <v>116.333</v>
      </c>
      <c r="D228" s="0" t="n">
        <f aca="false">AVERAGE($A$2:A228)</f>
        <v>0.5124788669163</v>
      </c>
      <c r="E228" s="0" t="n">
        <f aca="false">STDEV($A$2:A228)</f>
        <v>0.289583509215242</v>
      </c>
    </row>
    <row r="229" customFormat="false" ht="12.8" hidden="false" customHeight="false" outlineLevel="0" collapsed="false">
      <c r="A229" s="0" t="n">
        <v>0.113713</v>
      </c>
      <c r="B229" s="0" t="n">
        <v>116.446</v>
      </c>
      <c r="D229" s="0" t="n">
        <f aca="false">AVERAGE($A$2:A229)</f>
        <v>0.51072989381579</v>
      </c>
      <c r="E229" s="0" t="n">
        <f aca="false">STDEV($A$2:A229)</f>
        <v>0.290149303634991</v>
      </c>
    </row>
    <row r="230" customFormat="false" ht="12.8" hidden="false" customHeight="false" outlineLevel="0" collapsed="false">
      <c r="A230" s="0" t="n">
        <v>0.532727</v>
      </c>
      <c r="B230" s="0" t="n">
        <v>116.979</v>
      </c>
      <c r="D230" s="0" t="n">
        <f aca="false">AVERAGE($A$2:A230)</f>
        <v>0.510825951048035</v>
      </c>
      <c r="E230" s="0" t="n">
        <f aca="false">STDEV($A$2:A230)</f>
        <v>0.289515961264007</v>
      </c>
    </row>
    <row r="231" customFormat="false" ht="12.8" hidden="false" customHeight="false" outlineLevel="0" collapsed="false">
      <c r="A231" s="0" t="n">
        <v>0.553166</v>
      </c>
      <c r="B231" s="0" t="n">
        <v>117.532</v>
      </c>
      <c r="D231" s="0" t="n">
        <f aca="false">AVERAGE($A$2:A231)</f>
        <v>0.511010038217391</v>
      </c>
      <c r="E231" s="0" t="n">
        <f aca="false">STDEV($A$2:A231)</f>
        <v>0.288896628752584</v>
      </c>
    </row>
    <row r="232" customFormat="false" ht="12.8" hidden="false" customHeight="false" outlineLevel="0" collapsed="false">
      <c r="A232" s="0" t="n">
        <v>0.64539</v>
      </c>
      <c r="B232" s="0" t="n">
        <v>118.178</v>
      </c>
      <c r="D232" s="0" t="n">
        <f aca="false">AVERAGE($A$2:A232)</f>
        <v>0.51159176965368</v>
      </c>
      <c r="E232" s="0" t="n">
        <f aca="false">STDEV($A$2:A232)</f>
        <v>0.288403467559175</v>
      </c>
    </row>
    <row r="233" customFormat="false" ht="12.8" hidden="false" customHeight="false" outlineLevel="0" collapsed="false">
      <c r="A233" s="0" t="n">
        <v>0.466504</v>
      </c>
      <c r="B233" s="0" t="n">
        <v>118.644</v>
      </c>
      <c r="D233" s="0" t="n">
        <f aca="false">AVERAGE($A$2:A233)</f>
        <v>0.511397425818966</v>
      </c>
      <c r="E233" s="0" t="n">
        <f aca="false">STDEV($A$2:A233)</f>
        <v>0.287793764597956</v>
      </c>
    </row>
    <row r="234" customFormat="false" ht="12.8" hidden="false" customHeight="false" outlineLevel="0" collapsed="false">
      <c r="A234" s="0" t="n">
        <v>0.915454</v>
      </c>
      <c r="B234" s="0" t="n">
        <v>119.56</v>
      </c>
      <c r="D234" s="0" t="n">
        <f aca="false">AVERAGE($A$2:A234)</f>
        <v>0.513131574206009</v>
      </c>
      <c r="E234" s="0" t="n">
        <f aca="false">STDEV($A$2:A234)</f>
        <v>0.288390255740143</v>
      </c>
    </row>
    <row r="235" customFormat="false" ht="12.8" hidden="false" customHeight="false" outlineLevel="0" collapsed="false">
      <c r="A235" s="0" t="n">
        <v>0.819373</v>
      </c>
      <c r="B235" s="0" t="n">
        <v>120.379</v>
      </c>
      <c r="D235" s="0" t="n">
        <f aca="false">AVERAGE($A$2:A235)</f>
        <v>0.514440298247863</v>
      </c>
      <c r="E235" s="0" t="n">
        <f aca="false">STDEV($A$2:A235)</f>
        <v>0.288466249124159</v>
      </c>
    </row>
    <row r="236" customFormat="false" ht="12.8" hidden="false" customHeight="false" outlineLevel="0" collapsed="false">
      <c r="A236" s="0" t="n">
        <v>0.874797</v>
      </c>
      <c r="B236" s="0" t="n">
        <v>121.254</v>
      </c>
      <c r="D236" s="0" t="n">
        <f aca="false">AVERAGE($A$2:A236)</f>
        <v>0.515973731021277</v>
      </c>
      <c r="E236" s="0" t="n">
        <f aca="false">STDEV($A$2:A236)</f>
        <v>0.288807460954049</v>
      </c>
    </row>
    <row r="237" customFormat="false" ht="12.8" hidden="false" customHeight="false" outlineLevel="0" collapsed="false">
      <c r="A237" s="0" t="n">
        <v>0.77883</v>
      </c>
      <c r="B237" s="0" t="n">
        <v>122.033</v>
      </c>
      <c r="D237" s="0" t="n">
        <f aca="false">AVERAGE($A$2:A237)</f>
        <v>0.517087528771187</v>
      </c>
      <c r="E237" s="0" t="n">
        <f aca="false">STDEV($A$2:A237)</f>
        <v>0.288699814893249</v>
      </c>
    </row>
    <row r="238" customFormat="false" ht="12.8" hidden="false" customHeight="false" outlineLevel="0" collapsed="false">
      <c r="A238" s="0" t="n">
        <v>0.484599</v>
      </c>
      <c r="B238" s="0" t="n">
        <v>122.517</v>
      </c>
      <c r="D238" s="0" t="n">
        <f aca="false">AVERAGE($A$2:A238)</f>
        <v>0.516950446371308</v>
      </c>
      <c r="E238" s="0" t="n">
        <f aca="false">STDEV($A$2:A238)</f>
        <v>0.28809524293158</v>
      </c>
    </row>
    <row r="239" customFormat="false" ht="12.8" hidden="false" customHeight="false" outlineLevel="0" collapsed="false">
      <c r="A239" s="0" t="n">
        <v>0.646357</v>
      </c>
      <c r="B239" s="0" t="n">
        <v>123.164</v>
      </c>
      <c r="D239" s="0" t="n">
        <f aca="false">AVERAGE($A$2:A239)</f>
        <v>0.517494171386555</v>
      </c>
      <c r="E239" s="0" t="n">
        <f aca="false">STDEV($A$2:A239)</f>
        <v>0.28760915211766</v>
      </c>
    </row>
    <row r="240" customFormat="false" ht="12.8" hidden="false" customHeight="false" outlineLevel="0" collapsed="false">
      <c r="A240" s="0" t="n">
        <v>0.846688</v>
      </c>
      <c r="B240" s="0" t="n">
        <v>124.01</v>
      </c>
      <c r="D240" s="0" t="n">
        <f aca="false">AVERAGE($A$2:A240)</f>
        <v>0.518871551422594</v>
      </c>
      <c r="E240" s="0" t="n">
        <f aca="false">STDEV($A$2:A240)</f>
        <v>0.287793138318802</v>
      </c>
    </row>
    <row r="241" customFormat="false" ht="12.8" hidden="false" customHeight="false" outlineLevel="0" collapsed="false">
      <c r="A241" s="0" t="n">
        <v>0.554387</v>
      </c>
      <c r="B241" s="0" t="n">
        <v>124.565</v>
      </c>
      <c r="D241" s="0" t="n">
        <f aca="false">AVERAGE($A$2:A241)</f>
        <v>0.519019532458333</v>
      </c>
      <c r="E241" s="0" t="n">
        <f aca="false">STDEV($A$2:A241)</f>
        <v>0.287199579417184</v>
      </c>
    </row>
    <row r="242" customFormat="false" ht="12.8" hidden="false" customHeight="false" outlineLevel="0" collapsed="false">
      <c r="A242" s="0" t="n">
        <v>0.313318</v>
      </c>
      <c r="B242" s="0" t="n">
        <v>124.878</v>
      </c>
      <c r="D242" s="0" t="n">
        <f aca="false">AVERAGE($A$2:A242)</f>
        <v>0.518165999128631</v>
      </c>
      <c r="E242" s="0" t="n">
        <f aca="false">STDEV($A$2:A242)</f>
        <v>0.286906761633913</v>
      </c>
    </row>
    <row r="243" customFormat="false" ht="12.8" hidden="false" customHeight="false" outlineLevel="0" collapsed="false">
      <c r="A243" s="0" t="n">
        <v>0.852936</v>
      </c>
      <c r="B243" s="0" t="n">
        <v>125.731</v>
      </c>
      <c r="D243" s="0" t="n">
        <f aca="false">AVERAGE($A$2:A243)</f>
        <v>0.519549346239669</v>
      </c>
      <c r="E243" s="0" t="n">
        <f aca="false">STDEV($A$2:A243)</f>
        <v>0.287118503297103</v>
      </c>
    </row>
    <row r="244" customFormat="false" ht="12.8" hidden="false" customHeight="false" outlineLevel="0" collapsed="false">
      <c r="A244" s="0" t="n">
        <v>0.624761</v>
      </c>
      <c r="B244" s="0" t="n">
        <v>126.356</v>
      </c>
      <c r="D244" s="0" t="n">
        <f aca="false">AVERAGE($A$2:A244)</f>
        <v>0.51998231600823</v>
      </c>
      <c r="E244" s="0" t="n">
        <f aca="false">STDEV($A$2:A244)</f>
        <v>0.286604151219508</v>
      </c>
    </row>
    <row r="245" customFormat="false" ht="12.8" hidden="false" customHeight="false" outlineLevel="0" collapsed="false">
      <c r="A245" s="0" t="n">
        <v>0.456077</v>
      </c>
      <c r="B245" s="0" t="n">
        <v>126.812</v>
      </c>
      <c r="D245" s="0" t="n">
        <f aca="false">AVERAGE($A$2:A245)</f>
        <v>0.51972040897541</v>
      </c>
      <c r="E245" s="0" t="n">
        <f aca="false">STDEV($A$2:A245)</f>
        <v>0.286043080802749</v>
      </c>
    </row>
    <row r="246" customFormat="false" ht="12.8" hidden="false" customHeight="false" outlineLevel="0" collapsed="false">
      <c r="A246" s="0" t="n">
        <v>0.645857</v>
      </c>
      <c r="B246" s="0" t="n">
        <v>127.458</v>
      </c>
      <c r="D246" s="0" t="n">
        <f aca="false">AVERAGE($A$2:A246)</f>
        <v>0.520235252204082</v>
      </c>
      <c r="E246" s="0" t="n">
        <f aca="false">STDEV($A$2:A246)</f>
        <v>0.285570051189546</v>
      </c>
    </row>
    <row r="247" customFormat="false" ht="12.8" hidden="false" customHeight="false" outlineLevel="0" collapsed="false">
      <c r="A247" s="0" t="n">
        <v>0.412797</v>
      </c>
      <c r="B247" s="0" t="n">
        <v>127.87</v>
      </c>
      <c r="D247" s="0" t="n">
        <f aca="false">AVERAGE($A$2:A247)</f>
        <v>0.519798511341464</v>
      </c>
      <c r="E247" s="0" t="n">
        <f aca="false">STDEV($A$2:A247)</f>
        <v>0.285068971708948</v>
      </c>
    </row>
    <row r="248" customFormat="false" ht="12.8" hidden="false" customHeight="false" outlineLevel="0" collapsed="false">
      <c r="A248" s="0" t="n">
        <v>0.448331</v>
      </c>
      <c r="B248" s="0" t="n">
        <v>128.319</v>
      </c>
      <c r="D248" s="0" t="n">
        <f aca="false">AVERAGE($A$2:A248)</f>
        <v>0.519509169190283</v>
      </c>
      <c r="E248" s="0" t="n">
        <f aca="false">STDEV($A$2:A248)</f>
        <v>0.284525314227056</v>
      </c>
    </row>
    <row r="249" customFormat="false" ht="12.8" hidden="false" customHeight="false" outlineLevel="0" collapsed="false">
      <c r="A249" s="0" t="n">
        <v>0.566927</v>
      </c>
      <c r="B249" s="0" t="n">
        <v>128.886</v>
      </c>
      <c r="D249" s="0" t="n">
        <f aca="false">AVERAGE($A$2:A249)</f>
        <v>0.519700370120968</v>
      </c>
      <c r="E249" s="0" t="n">
        <f aca="false">STDEV($A$2:A249)</f>
        <v>0.283964732197493</v>
      </c>
    </row>
    <row r="250" customFormat="false" ht="12.8" hidden="false" customHeight="false" outlineLevel="0" collapsed="false">
      <c r="A250" s="0" t="n">
        <v>0.676287</v>
      </c>
      <c r="B250" s="0" t="n">
        <v>129.562</v>
      </c>
      <c r="D250" s="0" t="n">
        <f aca="false">AVERAGE($A$2:A250)</f>
        <v>0.520329232088354</v>
      </c>
      <c r="E250" s="0" t="n">
        <f aca="false">STDEV($A$2:A250)</f>
        <v>0.283565328401241</v>
      </c>
    </row>
    <row r="251" customFormat="false" ht="12.8" hidden="false" customHeight="false" outlineLevel="0" collapsed="false">
      <c r="A251" s="0" t="n">
        <v>0.827679</v>
      </c>
      <c r="B251" s="0" t="n">
        <v>130.39</v>
      </c>
      <c r="D251" s="0" t="n">
        <f aca="false">AVERAGE($A$2:A251)</f>
        <v>0.52155863116</v>
      </c>
      <c r="E251" s="0" t="n">
        <f aca="false">STDEV($A$2:A251)</f>
        <v>0.283662161898921</v>
      </c>
    </row>
    <row r="252" customFormat="false" ht="12.8" hidden="false" customHeight="false" outlineLevel="0" collapsed="false">
      <c r="A252" s="0" t="n">
        <v>0.132238</v>
      </c>
      <c r="B252" s="0" t="n">
        <v>130.522</v>
      </c>
      <c r="D252" s="0" t="n">
        <f aca="false">AVERAGE($A$2:A252)</f>
        <v>0.520007552948207</v>
      </c>
      <c r="E252" s="0" t="n">
        <f aca="false">STDEV($A$2:A252)</f>
        <v>0.284158814667416</v>
      </c>
    </row>
    <row r="253" customFormat="false" ht="12.8" hidden="false" customHeight="false" outlineLevel="0" collapsed="false">
      <c r="A253" s="0" t="n">
        <v>0.617329</v>
      </c>
      <c r="B253" s="0" t="n">
        <v>131.139</v>
      </c>
      <c r="D253" s="0" t="n">
        <f aca="false">AVERAGE($A$2:A253)</f>
        <v>0.520393749166667</v>
      </c>
      <c r="E253" s="0" t="n">
        <f aca="false">STDEV($A$2:A253)</f>
        <v>0.283658454823306</v>
      </c>
    </row>
    <row r="254" customFormat="false" ht="12.8" hidden="false" customHeight="false" outlineLevel="0" collapsed="false">
      <c r="A254" s="0" t="n">
        <v>0.548412</v>
      </c>
      <c r="B254" s="0" t="n">
        <v>131.688</v>
      </c>
      <c r="D254" s="0" t="n">
        <f aca="false">AVERAGE($A$2:A254)</f>
        <v>0.520504493241107</v>
      </c>
      <c r="E254" s="0" t="n">
        <f aca="false">STDEV($A$2:A254)</f>
        <v>0.283100561152772</v>
      </c>
    </row>
    <row r="255" customFormat="false" ht="12.8" hidden="false" customHeight="false" outlineLevel="0" collapsed="false">
      <c r="A255" s="0" t="n">
        <v>0.981864</v>
      </c>
      <c r="B255" s="0" t="n">
        <v>132.669</v>
      </c>
      <c r="D255" s="0" t="n">
        <f aca="false">AVERAGE($A$2:A255)</f>
        <v>0.522320869251969</v>
      </c>
      <c r="E255" s="0" t="n">
        <f aca="false">STDEV($A$2:A255)</f>
        <v>0.284019625629023</v>
      </c>
    </row>
    <row r="256" customFormat="false" ht="12.8" hidden="false" customHeight="false" outlineLevel="0" collapsed="false">
      <c r="A256" s="0" t="n">
        <v>0.955039</v>
      </c>
      <c r="B256" s="0" t="n">
        <v>133.625</v>
      </c>
      <c r="D256" s="0" t="n">
        <f aca="false">AVERAGE($A$2:A256)</f>
        <v>0.524017803098039</v>
      </c>
      <c r="E256" s="0" t="n">
        <f aca="false">STDEV($A$2:A256)</f>
        <v>0.284752268803058</v>
      </c>
    </row>
    <row r="257" customFormat="false" ht="12.8" hidden="false" customHeight="false" outlineLevel="0" collapsed="false">
      <c r="A257" s="0" t="n">
        <v>0.634829</v>
      </c>
      <c r="B257" s="0" t="n">
        <v>134.259</v>
      </c>
      <c r="D257" s="0" t="n">
        <f aca="false">AVERAGE($A$2:A257)</f>
        <v>0.524450659335938</v>
      </c>
      <c r="E257" s="0" t="n">
        <f aca="false">STDEV($A$2:A257)</f>
        <v>0.284277758549539</v>
      </c>
    </row>
    <row r="258" customFormat="false" ht="12.8" hidden="false" customHeight="false" outlineLevel="0" collapsed="false">
      <c r="A258" s="0" t="n">
        <v>0.302456</v>
      </c>
      <c r="B258" s="0" t="n">
        <v>134.562</v>
      </c>
      <c r="D258" s="0" t="n">
        <f aca="false">AVERAGE($A$2:A258)</f>
        <v>0.52358686688716</v>
      </c>
      <c r="E258" s="0" t="n">
        <f aca="false">STDEV($A$2:A258)</f>
        <v>0.284059715972197</v>
      </c>
    </row>
    <row r="259" customFormat="false" ht="12.8" hidden="false" customHeight="false" outlineLevel="0" collapsed="false">
      <c r="A259" s="0" t="n">
        <v>0.119985</v>
      </c>
      <c r="B259" s="0" t="n">
        <v>134.682</v>
      </c>
      <c r="D259" s="0" t="n">
        <f aca="false">AVERAGE($A$2:A259)</f>
        <v>0.522022518565891</v>
      </c>
      <c r="E259" s="0" t="n">
        <f aca="false">STDEV($A$2:A259)</f>
        <v>0.28461786235602</v>
      </c>
    </row>
    <row r="260" customFormat="false" ht="12.8" hidden="false" customHeight="false" outlineLevel="0" collapsed="false">
      <c r="A260" s="0" t="n">
        <v>0.376258</v>
      </c>
      <c r="B260" s="0" t="n">
        <v>135.058</v>
      </c>
      <c r="D260" s="0" t="n">
        <f aca="false">AVERAGE($A$2:A260)</f>
        <v>0.521459721196911</v>
      </c>
      <c r="E260" s="0" t="n">
        <f aca="false">STDEV($A$2:A260)</f>
        <v>0.284210101104509</v>
      </c>
    </row>
    <row r="261" customFormat="false" ht="12.8" hidden="false" customHeight="false" outlineLevel="0" collapsed="false">
      <c r="A261" s="0" t="n">
        <v>0.634369</v>
      </c>
      <c r="B261" s="0" t="n">
        <v>135.692</v>
      </c>
      <c r="D261" s="0" t="n">
        <f aca="false">AVERAGE($A$2:A261)</f>
        <v>0.521893987653846</v>
      </c>
      <c r="E261" s="0" t="n">
        <f aca="false">STDEV($A$2:A261)</f>
        <v>0.283747317559446</v>
      </c>
    </row>
    <row r="262" customFormat="false" ht="12.8" hidden="false" customHeight="false" outlineLevel="0" collapsed="false">
      <c r="A262" s="0" t="n">
        <v>0.159404</v>
      </c>
      <c r="B262" s="0" t="n">
        <v>135.852</v>
      </c>
      <c r="D262" s="0" t="n">
        <f aca="false">AVERAGE($A$2:A262)</f>
        <v>0.520505137126437</v>
      </c>
      <c r="E262" s="0" t="n">
        <f aca="false">STDEV($A$2:A262)</f>
        <v>0.2840885795249</v>
      </c>
    </row>
    <row r="263" customFormat="false" ht="12.8" hidden="false" customHeight="false" outlineLevel="0" collapsed="false">
      <c r="A263" s="0" t="n">
        <v>0.197509</v>
      </c>
      <c r="B263" s="0" t="n">
        <v>136.049</v>
      </c>
      <c r="D263" s="0" t="n">
        <f aca="false">AVERAGE($A$2:A263)</f>
        <v>0.519272327442748</v>
      </c>
      <c r="E263" s="0" t="n">
        <f aca="false">STDEV($A$2:A263)</f>
        <v>0.284245130409241</v>
      </c>
    </row>
    <row r="264" customFormat="false" ht="12.8" hidden="false" customHeight="false" outlineLevel="0" collapsed="false">
      <c r="A264" s="0" t="n">
        <v>0.0747807</v>
      </c>
      <c r="B264" s="0" t="n">
        <v>136.124</v>
      </c>
      <c r="D264" s="0" t="n">
        <f aca="false">AVERAGE($A$2:A264)</f>
        <v>0.517582245209125</v>
      </c>
      <c r="E264" s="0" t="n">
        <f aca="false">STDEV($A$2:A264)</f>
        <v>0.285023056222743</v>
      </c>
    </row>
    <row r="265" customFormat="false" ht="12.8" hidden="false" customHeight="false" outlineLevel="0" collapsed="false">
      <c r="A265" s="0" t="n">
        <v>0.0275697</v>
      </c>
      <c r="B265" s="0" t="n">
        <v>136.152</v>
      </c>
      <c r="D265" s="0" t="n">
        <f aca="false">AVERAGE($A$2:A265)</f>
        <v>0.515726137083333</v>
      </c>
      <c r="E265" s="0" t="n">
        <f aca="false">STDEV($A$2:A265)</f>
        <v>0.286074760455185</v>
      </c>
    </row>
    <row r="266" customFormat="false" ht="12.8" hidden="false" customHeight="false" outlineLevel="0" collapsed="false">
      <c r="A266" s="0" t="n">
        <v>0.373291</v>
      </c>
      <c r="B266" s="0" t="n">
        <v>136.525</v>
      </c>
      <c r="D266" s="0" t="n">
        <f aca="false">AVERAGE($A$2:A266)</f>
        <v>0.515188646</v>
      </c>
      <c r="E266" s="0" t="n">
        <f aca="false">STDEV($A$2:A266)</f>
        <v>0.285666467843422</v>
      </c>
    </row>
    <row r="267" customFormat="false" ht="12.8" hidden="false" customHeight="false" outlineLevel="0" collapsed="false">
      <c r="A267" s="0" t="n">
        <v>0.350897</v>
      </c>
      <c r="B267" s="0" t="n">
        <v>136.876</v>
      </c>
      <c r="D267" s="0" t="n">
        <f aca="false">AVERAGE($A$2:A267)</f>
        <v>0.514571008233083</v>
      </c>
      <c r="E267" s="0" t="n">
        <f aca="false">STDEV($A$2:A267)</f>
        <v>0.285304852623957</v>
      </c>
    </row>
    <row r="268" customFormat="false" ht="12.8" hidden="false" customHeight="false" outlineLevel="0" collapsed="false">
      <c r="A268" s="0" t="n">
        <v>0.983277</v>
      </c>
      <c r="B268" s="0" t="n">
        <v>137.859</v>
      </c>
      <c r="D268" s="0" t="n">
        <f aca="false">AVERAGE($A$2:A268)</f>
        <v>0.516326461385768</v>
      </c>
      <c r="E268" s="0" t="n">
        <f aca="false">STDEV($A$2:A268)</f>
        <v>0.286209083702539</v>
      </c>
    </row>
    <row r="269" customFormat="false" ht="12.8" hidden="false" customHeight="false" outlineLevel="0" collapsed="false">
      <c r="A269" s="0" t="n">
        <v>0.950717</v>
      </c>
      <c r="B269" s="0" t="n">
        <v>138.81</v>
      </c>
      <c r="D269" s="0" t="n">
        <f aca="false">AVERAGE($A$2:A269)</f>
        <v>0.517947321604478</v>
      </c>
      <c r="E269" s="0" t="n">
        <f aca="false">STDEV($A$2:A269)</f>
        <v>0.286902293105126</v>
      </c>
    </row>
    <row r="270" customFormat="false" ht="12.8" hidden="false" customHeight="false" outlineLevel="0" collapsed="false">
      <c r="A270" s="0" t="n">
        <v>0.12681</v>
      </c>
      <c r="B270" s="0" t="n">
        <v>138.937</v>
      </c>
      <c r="D270" s="0" t="n">
        <f aca="false">AVERAGE($A$2:A270)</f>
        <v>0.516493279516729</v>
      </c>
      <c r="E270" s="0" t="n">
        <f aca="false">STDEV($A$2:A270)</f>
        <v>0.287357822468585</v>
      </c>
    </row>
    <row r="271" customFormat="false" ht="12.8" hidden="false" customHeight="false" outlineLevel="0" collapsed="false">
      <c r="A271" s="0" t="n">
        <v>0.438711</v>
      </c>
      <c r="B271" s="0" t="n">
        <v>139.375</v>
      </c>
      <c r="D271" s="0" t="n">
        <f aca="false">AVERAGE($A$2:A271)</f>
        <v>0.516205197</v>
      </c>
      <c r="E271" s="0" t="n">
        <f aca="false">STDEV($A$2:A271)</f>
        <v>0.286862262034984</v>
      </c>
    </row>
    <row r="272" customFormat="false" ht="12.8" hidden="false" customHeight="false" outlineLevel="0" collapsed="false">
      <c r="A272" s="0" t="n">
        <v>0.0103003</v>
      </c>
      <c r="B272" s="0" t="n">
        <v>139.386</v>
      </c>
      <c r="D272" s="0" t="n">
        <f aca="false">AVERAGE($A$2:A272)</f>
        <v>0.514338389261993</v>
      </c>
      <c r="E272" s="0" t="n">
        <f aca="false">STDEV($A$2:A272)</f>
        <v>0.2879750109581</v>
      </c>
    </row>
    <row r="273" customFormat="false" ht="12.8" hidden="false" customHeight="false" outlineLevel="0" collapsed="false">
      <c r="A273" s="0" t="n">
        <v>0.119403</v>
      </c>
      <c r="B273" s="0" t="n">
        <v>139.505</v>
      </c>
      <c r="D273" s="0" t="n">
        <f aca="false">AVERAGE($A$2:A273)</f>
        <v>0.512886420919118</v>
      </c>
      <c r="E273" s="0" t="n">
        <f aca="false">STDEV($A$2:A273)</f>
        <v>0.288438949015696</v>
      </c>
    </row>
    <row r="274" customFormat="false" ht="12.8" hidden="false" customHeight="false" outlineLevel="0" collapsed="false">
      <c r="A274" s="0" t="n">
        <v>0.459958</v>
      </c>
      <c r="B274" s="0" t="n">
        <v>139.965</v>
      </c>
      <c r="D274" s="0" t="n">
        <f aca="false">AVERAGE($A$2:A274)</f>
        <v>0.512692543919414</v>
      </c>
      <c r="E274" s="0" t="n">
        <f aca="false">STDEV($A$2:A274)</f>
        <v>0.287926062538276</v>
      </c>
    </row>
    <row r="275" customFormat="false" ht="12.8" hidden="false" customHeight="false" outlineLevel="0" collapsed="false">
      <c r="A275" s="0" t="n">
        <v>0.66878</v>
      </c>
      <c r="B275" s="0" t="n">
        <v>140.634</v>
      </c>
      <c r="D275" s="0" t="n">
        <f aca="false">AVERAGE($A$2:A275)</f>
        <v>0.513262206167883</v>
      </c>
      <c r="E275" s="0" t="n">
        <f aca="false">STDEV($A$2:A275)</f>
        <v>0.287552893263229</v>
      </c>
    </row>
    <row r="276" customFormat="false" ht="17.35" hidden="false" customHeight="false" outlineLevel="0" collapsed="false">
      <c r="A276" s="4" t="n">
        <v>0.413887</v>
      </c>
      <c r="B276" s="5" t="n">
        <v>141.048</v>
      </c>
      <c r="C276" s="5"/>
      <c r="D276" s="5" t="n">
        <f aca="false">AVERAGE($A$2:A276)</f>
        <v>0.512900841781818</v>
      </c>
      <c r="E276" s="6" t="n">
        <f aca="false">STDEV($A$2:A276)</f>
        <v>0.287090231337795</v>
      </c>
    </row>
    <row r="277" customFormat="false" ht="12.8" hidden="false" customHeight="false" outlineLevel="0" collapsed="false">
      <c r="A277" s="0" t="n">
        <v>0.790403</v>
      </c>
      <c r="B277" s="0" t="n">
        <v>141.838</v>
      </c>
      <c r="D277" s="0" t="n">
        <f aca="false">AVERAGE($A$2:A277)</f>
        <v>0.513906284384058</v>
      </c>
      <c r="E277" s="0" t="n">
        <f aca="false">STDEV($A$2:A277)</f>
        <v>0.287054178541777</v>
      </c>
    </row>
    <row r="278" customFormat="false" ht="12.8" hidden="false" customHeight="false" outlineLevel="0" collapsed="false">
      <c r="A278" s="0" t="n">
        <v>0.573332</v>
      </c>
      <c r="B278" s="0" t="n">
        <v>142.411</v>
      </c>
      <c r="D278" s="0" t="n">
        <f aca="false">AVERAGE($A$2:A278)</f>
        <v>0.51412081765343</v>
      </c>
      <c r="E278" s="0" t="n">
        <f aca="false">STDEV($A$2:A278)</f>
        <v>0.286555926686668</v>
      </c>
    </row>
    <row r="279" customFormat="false" ht="12.8" hidden="false" customHeight="false" outlineLevel="0" collapsed="false">
      <c r="A279" s="0" t="n">
        <v>0.0579614</v>
      </c>
      <c r="B279" s="0" t="n">
        <v>142.469</v>
      </c>
      <c r="D279" s="0" t="n">
        <f aca="false">AVERAGE($A$2:A279)</f>
        <v>0.512479956438849</v>
      </c>
      <c r="E279" s="0" t="n">
        <f aca="false">STDEV($A$2:A279)</f>
        <v>0.287343612948474</v>
      </c>
    </row>
    <row r="280" customFormat="false" ht="12.8" hidden="false" customHeight="false" outlineLevel="0" collapsed="false">
      <c r="A280" s="0" t="n">
        <v>0.434583</v>
      </c>
      <c r="B280" s="0" t="n">
        <v>142.904</v>
      </c>
      <c r="D280" s="0" t="n">
        <f aca="false">AVERAGE($A$2:A280)</f>
        <v>0.512200755878136</v>
      </c>
      <c r="E280" s="0" t="n">
        <f aca="false">STDEV($A$2:A280)</f>
        <v>0.286864252757924</v>
      </c>
    </row>
    <row r="281" customFormat="false" ht="12.8" hidden="false" customHeight="false" outlineLevel="0" collapsed="false">
      <c r="A281" s="0" t="n">
        <v>0.524089</v>
      </c>
      <c r="B281" s="0" t="n">
        <v>143.428</v>
      </c>
      <c r="D281" s="0" t="n">
        <f aca="false">AVERAGE($A$2:A281)</f>
        <v>0.512243213892857</v>
      </c>
      <c r="E281" s="0" t="n">
        <f aca="false">STDEV($A$2:A281)</f>
        <v>0.286350578983437</v>
      </c>
    </row>
    <row r="282" customFormat="false" ht="12.8" hidden="false" customHeight="false" outlineLevel="0" collapsed="false">
      <c r="A282" s="0" t="n">
        <v>0.791665</v>
      </c>
      <c r="B282" s="0" t="n">
        <v>144.22</v>
      </c>
      <c r="D282" s="0" t="n">
        <f aca="false">AVERAGE($A$2:A282)</f>
        <v>0.51323759747331</v>
      </c>
      <c r="E282" s="0" t="n">
        <f aca="false">STDEV($A$2:A282)</f>
        <v>0.286324398763217</v>
      </c>
    </row>
    <row r="283" customFormat="false" ht="12.8" hidden="false" customHeight="false" outlineLevel="0" collapsed="false">
      <c r="A283" s="0" t="n">
        <v>0.134203</v>
      </c>
      <c r="B283" s="0" t="n">
        <v>144.354</v>
      </c>
      <c r="D283" s="0" t="n">
        <f aca="false">AVERAGE($A$2:A283)</f>
        <v>0.511893503156028</v>
      </c>
      <c r="E283" s="0" t="n">
        <f aca="false">STDEV($A$2:A283)</f>
        <v>0.286704324856107</v>
      </c>
    </row>
    <row r="284" customFormat="false" ht="12.8" hidden="false" customHeight="false" outlineLevel="0" collapsed="false">
      <c r="A284" s="0" t="n">
        <v>0.629964</v>
      </c>
      <c r="B284" s="0" t="n">
        <v>144.984</v>
      </c>
      <c r="D284" s="0" t="n">
        <f aca="false">AVERAGE($A$2:A284)</f>
        <v>0.512310713392226</v>
      </c>
      <c r="E284" s="0" t="n">
        <f aca="false">STDEV($A$2:A284)</f>
        <v>0.2862815798891</v>
      </c>
    </row>
    <row r="285" customFormat="false" ht="12.8" hidden="false" customHeight="false" outlineLevel="0" collapsed="false">
      <c r="A285" s="0" t="n">
        <v>0.911861</v>
      </c>
      <c r="B285" s="0" t="n">
        <v>145.896</v>
      </c>
      <c r="D285" s="0" t="n">
        <f aca="false">AVERAGE($A$2:A285)</f>
        <v>0.513717580598592</v>
      </c>
      <c r="E285" s="0" t="n">
        <f aca="false">STDEV($A$2:A285)</f>
        <v>0.286757137604915</v>
      </c>
    </row>
    <row r="286" customFormat="false" ht="12.8" hidden="false" customHeight="false" outlineLevel="0" collapsed="false">
      <c r="A286" s="0" t="n">
        <v>0.754413</v>
      </c>
      <c r="B286" s="0" t="n">
        <v>146.65</v>
      </c>
      <c r="D286" s="0" t="n">
        <f aca="false">AVERAGE($A$2:A286)</f>
        <v>0.514562125929825</v>
      </c>
      <c r="E286" s="0" t="n">
        <f aca="false">STDEV($A$2:A286)</f>
        <v>0.286606687147963</v>
      </c>
    </row>
    <row r="287" customFormat="false" ht="12.8" hidden="false" customHeight="false" outlineLevel="0" collapsed="false">
      <c r="A287" s="0" t="n">
        <v>0.0131317</v>
      </c>
      <c r="B287" s="0" t="n">
        <v>146.663</v>
      </c>
      <c r="D287" s="0" t="n">
        <f aca="false">AVERAGE($A$2:A287)</f>
        <v>0.512808872692308</v>
      </c>
      <c r="E287" s="0" t="n">
        <f aca="false">STDEV($A$2:A287)</f>
        <v>0.287635716147332</v>
      </c>
    </row>
    <row r="288" customFormat="false" ht="12.8" hidden="false" customHeight="false" outlineLevel="0" collapsed="false">
      <c r="A288" s="0" t="n">
        <v>0.814377</v>
      </c>
      <c r="B288" s="0" t="n">
        <v>147.478</v>
      </c>
      <c r="D288" s="0" t="n">
        <f aca="false">AVERAGE($A$2:A288)</f>
        <v>0.51385963271777</v>
      </c>
      <c r="E288" s="0" t="n">
        <f aca="false">STDEV($A$2:A288)</f>
        <v>0.287683680714238</v>
      </c>
    </row>
    <row r="289" customFormat="false" ht="12.8" hidden="false" customHeight="false" outlineLevel="0" collapsed="false">
      <c r="A289" s="0" t="n">
        <v>0.255391</v>
      </c>
      <c r="B289" s="0" t="n">
        <v>147.733</v>
      </c>
      <c r="D289" s="0" t="n">
        <f aca="false">AVERAGE($A$2:A289)</f>
        <v>0.5129621721875</v>
      </c>
      <c r="E289" s="0" t="n">
        <f aca="false">STDEV($A$2:A289)</f>
        <v>0.287585633430117</v>
      </c>
    </row>
    <row r="290" customFormat="false" ht="12.8" hidden="false" customHeight="false" outlineLevel="0" collapsed="false">
      <c r="A290" s="0" t="n">
        <v>0.833922</v>
      </c>
      <c r="B290" s="0" t="n">
        <v>148.567</v>
      </c>
      <c r="D290" s="0" t="n">
        <f aca="false">AVERAGE($A$2:A290)</f>
        <v>0.51407275982699</v>
      </c>
      <c r="E290" s="0" t="n">
        <f aca="false">STDEV($A$2:A290)</f>
        <v>0.287706063039873</v>
      </c>
    </row>
    <row r="291" customFormat="false" ht="12.8" hidden="false" customHeight="false" outlineLevel="0" collapsed="false">
      <c r="A291" s="0" t="n">
        <v>0.986291</v>
      </c>
      <c r="B291" s="0" t="n">
        <v>149.553</v>
      </c>
      <c r="D291" s="0" t="n">
        <f aca="false">AVERAGE($A$2:A291)</f>
        <v>0.515701098586207</v>
      </c>
      <c r="E291" s="0" t="n">
        <f aca="false">STDEV($A$2:A291)</f>
        <v>0.288543397175841</v>
      </c>
    </row>
    <row r="292" customFormat="false" ht="12.8" hidden="false" customHeight="false" outlineLevel="0" collapsed="false">
      <c r="A292" s="0" t="n">
        <v>0.592135</v>
      </c>
      <c r="B292" s="0" t="n">
        <v>150.145</v>
      </c>
      <c r="D292" s="0" t="n">
        <f aca="false">AVERAGE($A$2:A292)</f>
        <v>0.515963758041237</v>
      </c>
      <c r="E292" s="0" t="n">
        <f aca="false">STDEV($A$2:A292)</f>
        <v>0.28808032565612</v>
      </c>
    </row>
    <row r="293" customFormat="false" ht="12.8" hidden="false" customHeight="false" outlineLevel="0" collapsed="false">
      <c r="A293" s="0" t="n">
        <v>0.688411</v>
      </c>
      <c r="B293" s="0" t="n">
        <v>150.834</v>
      </c>
      <c r="D293" s="0" t="n">
        <f aca="false">AVERAGE($A$2:A293)</f>
        <v>0.516554330787671</v>
      </c>
      <c r="E293" s="0" t="n">
        <f aca="false">STDEV($A$2:A293)</f>
        <v>0.287761927166041</v>
      </c>
    </row>
    <row r="294" customFormat="false" ht="12.8" hidden="false" customHeight="false" outlineLevel="0" collapsed="false">
      <c r="A294" s="0" t="n">
        <v>0.889101</v>
      </c>
      <c r="B294" s="0" t="n">
        <v>151.723</v>
      </c>
      <c r="D294" s="0" t="n">
        <f aca="false">AVERAGE($A$2:A294)</f>
        <v>0.51782582112628</v>
      </c>
      <c r="E294" s="0" t="n">
        <f aca="false">STDEV($A$2:A294)</f>
        <v>0.288092052739046</v>
      </c>
    </row>
    <row r="295" customFormat="false" ht="12.8" hidden="false" customHeight="false" outlineLevel="0" collapsed="false">
      <c r="A295" s="0" t="n">
        <v>0.101795</v>
      </c>
      <c r="B295" s="0" t="n">
        <v>151.825</v>
      </c>
      <c r="D295" s="0" t="n">
        <f aca="false">AVERAGE($A$2:A295)</f>
        <v>0.516410750306123</v>
      </c>
      <c r="E295" s="0" t="n">
        <f aca="false">STDEV($A$2:A295)</f>
        <v>0.288621685965833</v>
      </c>
    </row>
    <row r="296" customFormat="false" ht="12.8" hidden="false" customHeight="false" outlineLevel="0" collapsed="false">
      <c r="A296" s="0" t="n">
        <v>0.330915</v>
      </c>
      <c r="B296" s="0" t="n">
        <v>152.156</v>
      </c>
      <c r="D296" s="0" t="n">
        <f aca="false">AVERAGE($A$2:A296)</f>
        <v>0.515781951152542</v>
      </c>
      <c r="E296" s="0" t="n">
        <f aca="false">STDEV($A$2:A296)</f>
        <v>0.288332751209376</v>
      </c>
    </row>
    <row r="297" customFormat="false" ht="12.8" hidden="false" customHeight="false" outlineLevel="0" collapsed="false">
      <c r="A297" s="0" t="n">
        <v>0.409585</v>
      </c>
      <c r="B297" s="0" t="n">
        <v>152.565</v>
      </c>
      <c r="D297" s="0" t="n">
        <f aca="false">AVERAGE($A$2:A297)</f>
        <v>0.515423177668919</v>
      </c>
      <c r="E297" s="0" t="n">
        <f aca="false">STDEV($A$2:A297)</f>
        <v>0.287909812063116</v>
      </c>
    </row>
    <row r="298" customFormat="false" ht="12.8" hidden="false" customHeight="false" outlineLevel="0" collapsed="false">
      <c r="A298" s="0" t="n">
        <v>0.603978</v>
      </c>
      <c r="B298" s="0" t="n">
        <v>153.169</v>
      </c>
      <c r="D298" s="0" t="n">
        <f aca="false">AVERAGE($A$2:A298)</f>
        <v>0.515721342053872</v>
      </c>
      <c r="E298" s="0" t="n">
        <f aca="false">STDEV($A$2:A298)</f>
        <v>0.287468994908161</v>
      </c>
    </row>
    <row r="299" customFormat="false" ht="12.8" hidden="false" customHeight="false" outlineLevel="0" collapsed="false">
      <c r="A299" s="0" t="n">
        <v>0.441106</v>
      </c>
      <c r="B299" s="0" t="n">
        <v>153.61</v>
      </c>
      <c r="D299" s="0" t="n">
        <f aca="false">AVERAGE($A$2:A299)</f>
        <v>0.515470955</v>
      </c>
      <c r="E299" s="0" t="n">
        <f aca="false">STDEV($A$2:A299)</f>
        <v>0.287017180497233</v>
      </c>
    </row>
    <row r="300" customFormat="false" ht="12.8" hidden="false" customHeight="false" outlineLevel="0" collapsed="false">
      <c r="A300" s="0" t="n">
        <v>0.753558</v>
      </c>
      <c r="B300" s="0" t="n">
        <v>154.364</v>
      </c>
      <c r="D300" s="0" t="n">
        <f aca="false">AVERAGE($A$2:A300)</f>
        <v>0.516267232742475</v>
      </c>
      <c r="E300" s="0" t="n">
        <f aca="false">STDEV($A$2:A300)</f>
        <v>0.286865833067292</v>
      </c>
    </row>
    <row r="301" customFormat="false" ht="12.8" hidden="false" customHeight="false" outlineLevel="0" collapsed="false">
      <c r="A301" s="0" t="n">
        <v>0.13349</v>
      </c>
      <c r="B301" s="0" t="n">
        <v>154.497</v>
      </c>
      <c r="D301" s="0" t="n">
        <f aca="false">AVERAGE($A$2:A301)</f>
        <v>0.514991308633333</v>
      </c>
      <c r="E301" s="0" t="n">
        <f aca="false">STDEV($A$2:A301)</f>
        <v>0.287237143803056</v>
      </c>
    </row>
    <row r="302" customFormat="false" ht="12.8" hidden="false" customHeight="false" outlineLevel="0" collapsed="false">
      <c r="A302" s="0" t="n">
        <v>0.0460127</v>
      </c>
      <c r="B302" s="0" t="n">
        <v>154.543</v>
      </c>
      <c r="D302" s="0" t="n">
        <f aca="false">AVERAGE($A$2:A302)</f>
        <v>0.513433240166113</v>
      </c>
      <c r="E302" s="0" t="n">
        <f aca="false">STDEV($A$2:A302)</f>
        <v>0.288029269877414</v>
      </c>
    </row>
    <row r="303" customFormat="false" ht="12.8" hidden="false" customHeight="false" outlineLevel="0" collapsed="false">
      <c r="A303" s="0" t="n">
        <v>0.128072</v>
      </c>
      <c r="B303" s="0" t="n">
        <v>154.671</v>
      </c>
      <c r="D303" s="0" t="n">
        <f aca="false">AVERAGE($A$2:A303)</f>
        <v>0.512157209569537</v>
      </c>
      <c r="E303" s="0" t="n">
        <f aca="false">STDEV($A$2:A303)</f>
        <v>0.288404187839224</v>
      </c>
    </row>
    <row r="304" customFormat="false" ht="12.8" hidden="false" customHeight="false" outlineLevel="0" collapsed="false">
      <c r="A304" s="0" t="n">
        <v>0.955868</v>
      </c>
      <c r="B304" s="0" t="n">
        <v>155.627</v>
      </c>
      <c r="D304" s="0" t="n">
        <f aca="false">AVERAGE($A$2:A304)</f>
        <v>0.513621601617162</v>
      </c>
      <c r="E304" s="0" t="n">
        <f aca="false">STDEV($A$2:A304)</f>
        <v>0.28905245487155</v>
      </c>
    </row>
    <row r="305" customFormat="false" ht="12.8" hidden="false" customHeight="false" outlineLevel="0" collapsed="false">
      <c r="A305" s="0" t="n">
        <v>0.651131</v>
      </c>
      <c r="B305" s="0" t="n">
        <v>156.278</v>
      </c>
      <c r="D305" s="0" t="n">
        <f aca="false">AVERAGE($A$2:A305)</f>
        <v>0.514073935164474</v>
      </c>
      <c r="E305" s="0" t="n">
        <f aca="false">STDEV($A$2:A305)</f>
        <v>0.288682827416238</v>
      </c>
    </row>
    <row r="306" customFormat="false" ht="12.8" hidden="false" customHeight="false" outlineLevel="0" collapsed="false">
      <c r="A306" s="0" t="n">
        <v>0.813857</v>
      </c>
      <c r="B306" s="0" t="n">
        <v>157.092</v>
      </c>
      <c r="D306" s="0" t="n">
        <f aca="false">AVERAGE($A$2:A306)</f>
        <v>0.515056830459016</v>
      </c>
      <c r="E306" s="0" t="n">
        <f aca="false">STDEV($A$2:A306)</f>
        <v>0.288718362408057</v>
      </c>
    </row>
    <row r="307" customFormat="false" ht="12.8" hidden="false" customHeight="false" outlineLevel="0" collapsed="false">
      <c r="A307" s="0" t="n">
        <v>0.851415</v>
      </c>
      <c r="B307" s="0" t="n">
        <v>157.944</v>
      </c>
      <c r="D307" s="0" t="n">
        <f aca="false">AVERAGE($A$2:A307)</f>
        <v>0.516156040163399</v>
      </c>
      <c r="E307" s="0" t="n">
        <f aca="false">STDEV($A$2:A307)</f>
        <v>0.288885297441204</v>
      </c>
    </row>
    <row r="308" customFormat="false" ht="12.8" hidden="false" customHeight="false" outlineLevel="0" collapsed="false">
      <c r="A308" s="0" t="n">
        <v>0.0736501</v>
      </c>
      <c r="B308" s="0" t="n">
        <v>158.017</v>
      </c>
      <c r="D308" s="0" t="n">
        <f aca="false">AVERAGE($A$2:A308)</f>
        <v>0.514714652736156</v>
      </c>
      <c r="E308" s="0" t="n">
        <f aca="false">STDEV($A$2:A308)</f>
        <v>0.289516510322422</v>
      </c>
    </row>
    <row r="309" customFormat="false" ht="12.8" hidden="false" customHeight="false" outlineLevel="0" collapsed="false">
      <c r="A309" s="0" t="n">
        <v>0.86602</v>
      </c>
      <c r="B309" s="0" t="n">
        <v>158.883</v>
      </c>
      <c r="D309" s="0" t="n">
        <f aca="false">AVERAGE($A$2:A309)</f>
        <v>0.515855254512987</v>
      </c>
      <c r="E309" s="0" t="n">
        <f aca="false">STDEV($A$2:A309)</f>
        <v>0.289736916108943</v>
      </c>
    </row>
    <row r="310" customFormat="false" ht="12.8" hidden="false" customHeight="false" outlineLevel="0" collapsed="false">
      <c r="A310" s="0" t="n">
        <v>0.647415</v>
      </c>
      <c r="B310" s="0" t="n">
        <v>159.531</v>
      </c>
      <c r="D310" s="0" t="n">
        <f aca="false">AVERAGE($A$2:A310)</f>
        <v>0.51628101420712</v>
      </c>
      <c r="E310" s="0" t="n">
        <f aca="false">STDEV($A$2:A310)</f>
        <v>0.2893629842227</v>
      </c>
    </row>
    <row r="311" customFormat="false" ht="12.8" hidden="false" customHeight="false" outlineLevel="0" collapsed="false">
      <c r="A311" s="0" t="n">
        <v>0.894116</v>
      </c>
      <c r="B311" s="0" t="n">
        <v>160.425</v>
      </c>
      <c r="D311" s="0" t="n">
        <f aca="false">AVERAGE($A$2:A311)</f>
        <v>0.517499836741935</v>
      </c>
      <c r="E311" s="0" t="n">
        <f aca="false">STDEV($A$2:A311)</f>
        <v>0.289690311416199</v>
      </c>
    </row>
    <row r="312" customFormat="false" ht="12.8" hidden="false" customHeight="false" outlineLevel="0" collapsed="false">
      <c r="A312" s="0" t="n">
        <v>0.0905455</v>
      </c>
      <c r="B312" s="0" t="n">
        <v>160.515</v>
      </c>
      <c r="D312" s="0" t="n">
        <f aca="false">AVERAGE($A$2:A312)</f>
        <v>0.516126993215434</v>
      </c>
      <c r="E312" s="0" t="n">
        <f aca="false">STDEV($A$2:A312)</f>
        <v>0.290234227497576</v>
      </c>
    </row>
    <row r="313" customFormat="false" ht="12.8" hidden="false" customHeight="false" outlineLevel="0" collapsed="false">
      <c r="A313" s="0" t="n">
        <v>0.48438</v>
      </c>
      <c r="B313" s="0" t="n">
        <v>161</v>
      </c>
      <c r="D313" s="0" t="n">
        <f aca="false">AVERAGE($A$2:A313)</f>
        <v>0.516025240032051</v>
      </c>
      <c r="E313" s="0" t="n">
        <f aca="false">STDEV($A$2:A313)</f>
        <v>0.289772811290006</v>
      </c>
    </row>
    <row r="314" customFormat="false" ht="12.8" hidden="false" customHeight="false" outlineLevel="0" collapsed="false">
      <c r="A314" s="0" t="n">
        <v>0.522227</v>
      </c>
      <c r="B314" s="0" t="n">
        <v>161.522</v>
      </c>
      <c r="D314" s="0" t="n">
        <f aca="false">AVERAGE($A$2:A314)</f>
        <v>0.516045053961661</v>
      </c>
      <c r="E314" s="0" t="n">
        <f aca="false">STDEV($A$2:A314)</f>
        <v>0.2893082714591</v>
      </c>
    </row>
    <row r="315" customFormat="false" ht="12.8" hidden="false" customHeight="false" outlineLevel="0" collapsed="false">
      <c r="A315" s="0" t="n">
        <v>0.765551</v>
      </c>
      <c r="B315" s="0" t="n">
        <v>162.288</v>
      </c>
      <c r="D315" s="0" t="n">
        <f aca="false">AVERAGE($A$2:A315)</f>
        <v>0.51683965888535</v>
      </c>
      <c r="E315" s="0" t="n">
        <f aca="false">STDEV($A$2:A315)</f>
        <v>0.289188735535458</v>
      </c>
    </row>
    <row r="316" customFormat="false" ht="12.8" hidden="false" customHeight="false" outlineLevel="0" collapsed="false">
      <c r="A316" s="0" t="n">
        <v>0.325331</v>
      </c>
      <c r="B316" s="0" t="n">
        <v>162.613</v>
      </c>
      <c r="D316" s="0" t="n">
        <f aca="false">AVERAGE($A$2:A316)</f>
        <v>0.516231694888889</v>
      </c>
      <c r="E316" s="0" t="n">
        <f aca="false">STDEV($A$2:A316)</f>
        <v>0.288929432826192</v>
      </c>
    </row>
    <row r="317" customFormat="false" ht="12.8" hidden="false" customHeight="false" outlineLevel="0" collapsed="false">
      <c r="A317" s="0" t="n">
        <v>0.182779</v>
      </c>
      <c r="B317" s="0" t="n">
        <v>162.796</v>
      </c>
      <c r="D317" s="0" t="n">
        <f aca="false">AVERAGE($A$2:A317)</f>
        <v>0.515176464841772</v>
      </c>
      <c r="E317" s="0" t="n">
        <f aca="false">STDEV($A$2:A317)</f>
        <v>0.289079694710322</v>
      </c>
    </row>
    <row r="318" customFormat="false" ht="12.8" hidden="false" customHeight="false" outlineLevel="0" collapsed="false">
      <c r="A318" s="0" t="n">
        <v>0.0447761</v>
      </c>
      <c r="B318" s="0" t="n">
        <v>162.841</v>
      </c>
      <c r="D318" s="0" t="n">
        <f aca="false">AVERAGE($A$2:A318)</f>
        <v>0.513692552018928</v>
      </c>
      <c r="E318" s="0" t="n">
        <f aca="false">STDEV($A$2:A318)</f>
        <v>0.289828656751267</v>
      </c>
    </row>
    <row r="319" customFormat="false" ht="12.8" hidden="false" customHeight="false" outlineLevel="0" collapsed="false">
      <c r="A319" s="0" t="n">
        <v>0.971958</v>
      </c>
      <c r="B319" s="0" t="n">
        <v>163.812</v>
      </c>
      <c r="D319" s="0" t="n">
        <f aca="false">AVERAGE($A$2:A319)</f>
        <v>0.515133638333333</v>
      </c>
      <c r="E319" s="0" t="n">
        <f aca="false">STDEV($A$2:A319)</f>
        <v>0.290510006817711</v>
      </c>
    </row>
    <row r="320" customFormat="false" ht="12.8" hidden="false" customHeight="false" outlineLevel="0" collapsed="false">
      <c r="A320" s="0" t="n">
        <v>0.196727</v>
      </c>
      <c r="B320" s="0" t="n">
        <v>164.009</v>
      </c>
      <c r="D320" s="0" t="n">
        <f aca="false">AVERAGE($A$2:A320)</f>
        <v>0.514135498401254</v>
      </c>
      <c r="E320" s="0" t="n">
        <f aca="false">STDEV($A$2:A320)</f>
        <v>0.290600209934062</v>
      </c>
    </row>
    <row r="321" customFormat="false" ht="12.8" hidden="false" customHeight="false" outlineLevel="0" collapsed="false">
      <c r="A321" s="0" t="n">
        <v>0.564353</v>
      </c>
      <c r="B321" s="0" t="n">
        <v>164.574</v>
      </c>
      <c r="D321" s="0" t="n">
        <f aca="false">AVERAGE($A$2:A321)</f>
        <v>0.51429242809375</v>
      </c>
      <c r="E321" s="0" t="n">
        <f aca="false">STDEV($A$2:A321)</f>
        <v>0.290157946379317</v>
      </c>
    </row>
    <row r="322" customFormat="false" ht="12.8" hidden="false" customHeight="false" outlineLevel="0" collapsed="false">
      <c r="A322" s="0" t="n">
        <v>0.384818</v>
      </c>
      <c r="B322" s="0" t="n">
        <v>164.958</v>
      </c>
      <c r="D322" s="0" t="n">
        <f aca="false">AVERAGE($A$2:A322)</f>
        <v>0.513889080965732</v>
      </c>
      <c r="E322" s="0" t="n">
        <f aca="false">STDEV($A$2:A322)</f>
        <v>0.289794337643119</v>
      </c>
    </row>
    <row r="323" customFormat="false" ht="12.8" hidden="false" customHeight="false" outlineLevel="0" collapsed="false">
      <c r="A323" s="0" t="n">
        <v>0.680759</v>
      </c>
      <c r="B323" s="0" t="n">
        <v>165.639</v>
      </c>
      <c r="D323" s="0" t="n">
        <f aca="false">AVERAGE($A$2:A323)</f>
        <v>0.51440731052795</v>
      </c>
      <c r="E323" s="0" t="n">
        <f aca="false">STDEV($A$2:A323)</f>
        <v>0.289491990831581</v>
      </c>
    </row>
    <row r="324" customFormat="false" ht="12.8" hidden="false" customHeight="false" outlineLevel="0" collapsed="false">
      <c r="A324" s="0" t="n">
        <v>0.611435</v>
      </c>
      <c r="B324" s="0" t="n">
        <v>166.251</v>
      </c>
      <c r="D324" s="0" t="n">
        <f aca="false">AVERAGE($A$2:A324)</f>
        <v>0.514707705851393</v>
      </c>
      <c r="E324" s="0" t="n">
        <f aca="false">STDEV($A$2:A324)</f>
        <v>0.289092534565787</v>
      </c>
    </row>
    <row r="325" customFormat="false" ht="12.8" hidden="false" customHeight="false" outlineLevel="0" collapsed="false">
      <c r="A325" s="0" t="n">
        <v>0.52104</v>
      </c>
      <c r="B325" s="0" t="n">
        <v>166.772</v>
      </c>
      <c r="D325" s="0" t="n">
        <f aca="false">AVERAGE($A$2:A325)</f>
        <v>0.514727249969136</v>
      </c>
      <c r="E325" s="0" t="n">
        <f aca="false">STDEV($A$2:A325)</f>
        <v>0.288644890373491</v>
      </c>
    </row>
    <row r="326" customFormat="false" ht="12.8" hidden="false" customHeight="false" outlineLevel="0" collapsed="false">
      <c r="A326" s="0" t="n">
        <v>0.942385</v>
      </c>
      <c r="B326" s="0" t="n">
        <v>167.714</v>
      </c>
      <c r="D326" s="0" t="n">
        <f aca="false">AVERAGE($A$2:A326)</f>
        <v>0.516043119969231</v>
      </c>
      <c r="E326" s="0" t="n">
        <f aca="false">STDEV($A$2:A326)</f>
        <v>0.289173766076614</v>
      </c>
    </row>
    <row r="327" customFormat="false" ht="12.8" hidden="false" customHeight="false" outlineLevel="0" collapsed="false">
      <c r="A327" s="0" t="n">
        <v>0.716438</v>
      </c>
      <c r="B327" s="0" t="n">
        <v>168.43</v>
      </c>
      <c r="D327" s="0" t="n">
        <f aca="false">AVERAGE($A$2:A327)</f>
        <v>0.516657828190184</v>
      </c>
      <c r="E327" s="0" t="n">
        <f aca="false">STDEV($A$2:A327)</f>
        <v>0.288941784007827</v>
      </c>
    </row>
    <row r="328" customFormat="false" ht="12.8" hidden="false" customHeight="false" outlineLevel="0" collapsed="false">
      <c r="A328" s="0" t="n">
        <v>0.514293</v>
      </c>
      <c r="B328" s="0" t="n">
        <v>168.945</v>
      </c>
      <c r="D328" s="0" t="n">
        <f aca="false">AVERAGE($A$2:A328)</f>
        <v>0.516650596299694</v>
      </c>
      <c r="E328" s="0" t="n">
        <f aca="false">STDEV($A$2:A328)</f>
        <v>0.288498311031826</v>
      </c>
    </row>
    <row r="329" customFormat="false" ht="12.8" hidden="false" customHeight="false" outlineLevel="0" collapsed="false">
      <c r="A329" s="0" t="n">
        <v>0.480389</v>
      </c>
      <c r="B329" s="0" t="n">
        <v>169.425</v>
      </c>
      <c r="D329" s="0" t="n">
        <f aca="false">AVERAGE($A$2:A329)</f>
        <v>0.516540042652439</v>
      </c>
      <c r="E329" s="0" t="n">
        <f aca="false">STDEV($A$2:A329)</f>
        <v>0.288063802699236</v>
      </c>
    </row>
    <row r="330" customFormat="false" ht="12.8" hidden="false" customHeight="false" outlineLevel="0" collapsed="false">
      <c r="A330" s="0" t="n">
        <v>0.964789</v>
      </c>
      <c r="B330" s="0" t="n">
        <v>170.39</v>
      </c>
      <c r="D330" s="0" t="n">
        <f aca="false">AVERAGE($A$2:A330)</f>
        <v>0.517902501489362</v>
      </c>
      <c r="E330" s="0" t="n">
        <f aca="false">STDEV($A$2:A330)</f>
        <v>0.288684057532916</v>
      </c>
    </row>
    <row r="331" customFormat="false" ht="12.8" hidden="false" customHeight="false" outlineLevel="0" collapsed="false">
      <c r="A331" s="0" t="n">
        <v>0.788449</v>
      </c>
      <c r="B331" s="0" t="n">
        <v>171.178</v>
      </c>
      <c r="D331" s="0" t="n">
        <f aca="false">AVERAGE($A$2:A331)</f>
        <v>0.518722339363636</v>
      </c>
      <c r="E331" s="0" t="n">
        <f aca="false">STDEV($A$2:A331)</f>
        <v>0.288629487188384</v>
      </c>
    </row>
    <row r="332" customFormat="false" ht="12.8" hidden="false" customHeight="false" outlineLevel="0" collapsed="false">
      <c r="A332" s="0" t="n">
        <v>0.52224</v>
      </c>
      <c r="B332" s="0" t="n">
        <v>171.701</v>
      </c>
      <c r="D332" s="0" t="n">
        <f aca="false">AVERAGE($A$2:A332)</f>
        <v>0.51873296673716</v>
      </c>
      <c r="E332" s="0" t="n">
        <f aca="false">STDEV($A$2:A332)</f>
        <v>0.288191902838254</v>
      </c>
    </row>
    <row r="333" customFormat="false" ht="12.8" hidden="false" customHeight="false" outlineLevel="0" collapsed="false">
      <c r="A333" s="0" t="n">
        <v>0.0842901</v>
      </c>
      <c r="B333" s="0" t="n">
        <v>171.785</v>
      </c>
      <c r="D333" s="0" t="n">
        <f aca="false">AVERAGE($A$2:A333)</f>
        <v>0.517424403885542</v>
      </c>
      <c r="E333" s="0" t="n">
        <f aca="false">STDEV($A$2:A333)</f>
        <v>0.288742356606013</v>
      </c>
    </row>
    <row r="334" customFormat="false" ht="12.8" hidden="false" customHeight="false" outlineLevel="0" collapsed="false">
      <c r="A334" s="0" t="n">
        <v>0.201699</v>
      </c>
      <c r="B334" s="0" t="n">
        <v>171.987</v>
      </c>
      <c r="D334" s="0" t="n">
        <f aca="false">AVERAGE($A$2:A334)</f>
        <v>0.51647627954955</v>
      </c>
      <c r="E334" s="0" t="n">
        <f aca="false">STDEV($A$2:A334)</f>
        <v>0.288825854985485</v>
      </c>
    </row>
    <row r="335" customFormat="false" ht="12.8" hidden="false" customHeight="false" outlineLevel="0" collapsed="false">
      <c r="A335" s="0" t="n">
        <v>0.863279</v>
      </c>
      <c r="B335" s="0" t="n">
        <v>172.85</v>
      </c>
      <c r="D335" s="0" t="n">
        <f aca="false">AVERAGE($A$2:A335)</f>
        <v>0.517514611047904</v>
      </c>
      <c r="E335" s="0" t="n">
        <f aca="false">STDEV($A$2:A335)</f>
        <v>0.289015499690407</v>
      </c>
    </row>
    <row r="336" customFormat="false" ht="12.8" hidden="false" customHeight="false" outlineLevel="0" collapsed="false">
      <c r="A336" s="0" t="n">
        <v>0.622476</v>
      </c>
      <c r="B336" s="0" t="n">
        <v>173.472</v>
      </c>
      <c r="D336" s="0" t="n">
        <f aca="false">AVERAGE($A$2:A336)</f>
        <v>0.517827928626866</v>
      </c>
      <c r="E336" s="0" t="n">
        <f aca="false">STDEV($A$2:A336)</f>
        <v>0.288639490735032</v>
      </c>
    </row>
    <row r="337" customFormat="false" ht="12.8" hidden="false" customHeight="false" outlineLevel="0" collapsed="false">
      <c r="A337" s="0" t="n">
        <v>0.813779</v>
      </c>
      <c r="B337" s="0" t="n">
        <v>174.286</v>
      </c>
      <c r="D337" s="0" t="n">
        <f aca="false">AVERAGE($A$2:A337)</f>
        <v>0.518708735386905</v>
      </c>
      <c r="E337" s="0" t="n">
        <f aca="false">STDEV($A$2:A337)</f>
        <v>0.288660244098861</v>
      </c>
    </row>
    <row r="338" customFormat="false" ht="12.8" hidden="false" customHeight="false" outlineLevel="0" collapsed="false">
      <c r="A338" s="0" t="n">
        <v>0.0124575</v>
      </c>
      <c r="B338" s="0" t="n">
        <v>174.299</v>
      </c>
      <c r="D338" s="0" t="n">
        <f aca="false">AVERAGE($A$2:A338)</f>
        <v>0.51720650620178</v>
      </c>
      <c r="E338" s="0" t="n">
        <f aca="false">STDEV($A$2:A338)</f>
        <v>0.289546631161106</v>
      </c>
    </row>
    <row r="339" customFormat="false" ht="12.8" hidden="false" customHeight="false" outlineLevel="0" collapsed="false">
      <c r="A339" s="0" t="n">
        <v>0.721219</v>
      </c>
      <c r="B339" s="0" t="n">
        <v>175.02</v>
      </c>
      <c r="D339" s="0" t="n">
        <f aca="false">AVERAGE($A$2:A339)</f>
        <v>0.517810093461538</v>
      </c>
      <c r="E339" s="0" t="n">
        <f aca="false">STDEV($A$2:A339)</f>
        <v>0.289329597054094</v>
      </c>
    </row>
    <row r="340" customFormat="false" ht="12.8" hidden="false" customHeight="false" outlineLevel="0" collapsed="false">
      <c r="A340" s="0" t="n">
        <v>0.407219</v>
      </c>
      <c r="B340" s="0" t="n">
        <v>175.427</v>
      </c>
      <c r="D340" s="0" t="n">
        <f aca="false">AVERAGE($A$2:A340)</f>
        <v>0.517483866047198</v>
      </c>
      <c r="E340" s="0" t="n">
        <f aca="false">STDEV($A$2:A340)</f>
        <v>0.288963710655489</v>
      </c>
    </row>
    <row r="341" customFormat="false" ht="12.8" hidden="false" customHeight="false" outlineLevel="0" collapsed="false">
      <c r="A341" s="0" t="n">
        <v>0.663045</v>
      </c>
      <c r="B341" s="0" t="n">
        <v>176.09</v>
      </c>
      <c r="D341" s="0" t="n">
        <f aca="false">AVERAGE($A$2:A341)</f>
        <v>0.517911987029412</v>
      </c>
      <c r="E341" s="0" t="n">
        <f aca="false">STDEV($A$2:A341)</f>
        <v>0.288645164674803</v>
      </c>
    </row>
    <row r="342" customFormat="false" ht="12.8" hidden="false" customHeight="false" outlineLevel="0" collapsed="false">
      <c r="A342" s="0" t="n">
        <v>0.500004</v>
      </c>
      <c r="B342" s="0" t="n">
        <v>176.59</v>
      </c>
      <c r="D342" s="0" t="n">
        <f aca="false">AVERAGE($A$2:A342)</f>
        <v>0.517859470938416</v>
      </c>
      <c r="E342" s="0" t="n">
        <f aca="false">STDEV($A$2:A342)</f>
        <v>0.288222005400967</v>
      </c>
    </row>
    <row r="343" customFormat="false" ht="12.8" hidden="false" customHeight="false" outlineLevel="0" collapsed="false">
      <c r="A343" s="0" t="n">
        <v>0.857042</v>
      </c>
      <c r="B343" s="0" t="n">
        <v>177.447</v>
      </c>
      <c r="D343" s="0" t="n">
        <f aca="false">AVERAGE($A$2:A343)</f>
        <v>0.518851232719298</v>
      </c>
      <c r="E343" s="0" t="n">
        <f aca="false">STDEV($A$2:A343)</f>
        <v>0.288382905153728</v>
      </c>
    </row>
    <row r="344" customFormat="false" ht="12.8" hidden="false" customHeight="false" outlineLevel="0" collapsed="false">
      <c r="A344" s="0" t="n">
        <v>0.690099</v>
      </c>
      <c r="B344" s="0" t="n">
        <v>178.137</v>
      </c>
      <c r="D344" s="0" t="n">
        <f aca="false">AVERAGE($A$2:A344)</f>
        <v>0.519350497346939</v>
      </c>
      <c r="E344" s="0" t="n">
        <f aca="false">STDEV($A$2:A344)</f>
        <v>0.288109399881863</v>
      </c>
    </row>
    <row r="345" customFormat="false" ht="12.8" hidden="false" customHeight="false" outlineLevel="0" collapsed="false">
      <c r="A345" s="0" t="n">
        <v>0.474682</v>
      </c>
      <c r="B345" s="0" t="n">
        <v>178.612</v>
      </c>
      <c r="D345" s="0" t="n">
        <f aca="false">AVERAGE($A$2:A345)</f>
        <v>0.519220647063953</v>
      </c>
      <c r="E345" s="0" t="n">
        <f aca="false">STDEV($A$2:A345)</f>
        <v>0.287699189302262</v>
      </c>
    </row>
    <row r="346" customFormat="false" ht="12.8" hidden="false" customHeight="false" outlineLevel="0" collapsed="false">
      <c r="A346" s="0" t="n">
        <v>0.821221</v>
      </c>
      <c r="B346" s="0" t="n">
        <v>179.433</v>
      </c>
      <c r="D346" s="0" t="n">
        <f aca="false">AVERAGE($A$2:A346)</f>
        <v>0.520096010405797</v>
      </c>
      <c r="E346" s="0" t="n">
        <f aca="false">STDEV($A$2:A346)</f>
        <v>0.287740457190639</v>
      </c>
    </row>
    <row r="347" customFormat="false" ht="12.8" hidden="false" customHeight="false" outlineLevel="0" collapsed="false">
      <c r="A347" s="0" t="n">
        <v>0.672116</v>
      </c>
      <c r="B347" s="0" t="n">
        <v>180.105</v>
      </c>
      <c r="D347" s="0" t="n">
        <f aca="false">AVERAGE($A$2:A347)</f>
        <v>0.520535374537572</v>
      </c>
      <c r="E347" s="0" t="n">
        <f aca="false">STDEV($A$2:A347)</f>
        <v>0.287439347640694</v>
      </c>
    </row>
    <row r="348" customFormat="false" ht="12.8" hidden="false" customHeight="false" outlineLevel="0" collapsed="false">
      <c r="A348" s="0" t="n">
        <v>0.237718</v>
      </c>
      <c r="B348" s="0" t="n">
        <v>180.343</v>
      </c>
      <c r="D348" s="0" t="n">
        <f aca="false">AVERAGE($A$2:A348)</f>
        <v>0.519720338876081</v>
      </c>
      <c r="E348" s="0" t="n">
        <f aca="false">STDEV($A$2:A348)</f>
        <v>0.28742493751685</v>
      </c>
    </row>
    <row r="349" customFormat="false" ht="12.8" hidden="false" customHeight="false" outlineLevel="0" collapsed="false">
      <c r="A349" s="0" t="n">
        <v>0.0214121</v>
      </c>
      <c r="B349" s="0" t="n">
        <v>180.364</v>
      </c>
      <c r="D349" s="0" t="n">
        <f aca="false">AVERAGE($A$2:A349)</f>
        <v>0.518288418649425</v>
      </c>
      <c r="E349" s="0" t="n">
        <f aca="false">STDEV($A$2:A349)</f>
        <v>0.288250853025959</v>
      </c>
    </row>
    <row r="350" customFormat="false" ht="12.8" hidden="false" customHeight="false" outlineLevel="0" collapsed="false">
      <c r="A350" s="0" t="n">
        <v>0.105357</v>
      </c>
      <c r="B350" s="0" t="n">
        <v>180.47</v>
      </c>
      <c r="D350" s="0" t="n">
        <f aca="false">AVERAGE($A$2:A350)</f>
        <v>0.517105234068768</v>
      </c>
      <c r="E350" s="0" t="n">
        <f aca="false">STDEV($A$2:A350)</f>
        <v>0.288683855011305</v>
      </c>
    </row>
    <row r="351" customFormat="false" ht="17.35" hidden="false" customHeight="false" outlineLevel="0" collapsed="false">
      <c r="A351" s="4" t="n">
        <v>0.249069</v>
      </c>
      <c r="B351" s="5" t="n">
        <v>180.719</v>
      </c>
      <c r="C351" s="5"/>
      <c r="D351" s="5" t="n">
        <f aca="false">AVERAGE($A$2:A351)</f>
        <v>0.516339416257143</v>
      </c>
      <c r="E351" s="6" t="n">
        <f aca="false">STDEV($A$2:A351)</f>
        <v>0.288625783984381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8" min="8" style="0" width="9.18"/>
    <col collapsed="false" customWidth="true" hidden="false" outlineLevel="0" max="9" min="9" style="0" width="36.58"/>
    <col collapsed="false" customWidth="true" hidden="false" outlineLevel="0" max="10" min="10" style="0" width="32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F1" s="2"/>
      <c r="H1" s="1" t="s">
        <v>5</v>
      </c>
      <c r="I1" s="1" t="s">
        <v>6</v>
      </c>
      <c r="J1" s="1" t="s">
        <v>7</v>
      </c>
    </row>
    <row r="2" customFormat="false" ht="17.35" hidden="false" customHeight="false" outlineLevel="0" collapsed="false">
      <c r="A2" s="0" t="n">
        <f aca="false">'Исходные данные'!A2</f>
        <v>0.59931</v>
      </c>
      <c r="B2" s="0" t="n">
        <f aca="false">'Исходные данные'!B2</f>
        <v>0.59931</v>
      </c>
      <c r="F2" s="1" t="s">
        <v>8</v>
      </c>
      <c r="G2" s="0" t="n">
        <f aca="false">(E11-3*E12)</f>
        <v>-0.24866621832741</v>
      </c>
      <c r="H2" s="0" t="n">
        <f aca="false">(E11-3*E12)</f>
        <v>-0.24866621832741</v>
      </c>
      <c r="I2" s="0" t="n">
        <f aca="false">_xlfn.NORM.DIST(H2,$E$11,$E$12,0)</f>
        <v>0.0181908026890141</v>
      </c>
      <c r="J2" s="0" t="n">
        <f aca="false">_xlfn.NORM.DIST(H2,$E$11,$E$12,1)</f>
        <v>0.00134989803163009</v>
      </c>
    </row>
    <row r="3" customFormat="false" ht="12.8" hidden="false" customHeight="false" outlineLevel="0" collapsed="false">
      <c r="A3" s="0" t="n">
        <f aca="false">'Исходные данные'!A3</f>
        <v>0.52672</v>
      </c>
      <c r="B3" s="0" t="n">
        <f aca="false">'Исходные данные'!B3</f>
        <v>1.12603</v>
      </c>
      <c r="H3" s="0" t="n">
        <f aca="false">H2+6*$E$12/19</f>
        <v>-0.171730026924525</v>
      </c>
      <c r="I3" s="0" t="n">
        <f aca="false">_xlfn.NORM.DIST(H3,$E$11,$E$12,0)</f>
        <v>0.0446307482800451</v>
      </c>
      <c r="J3" s="0" t="n">
        <f aca="false">_xlfn.NORM.DIST(H3,$E$11,$E$12,1)</f>
        <v>0.00363506551966495</v>
      </c>
    </row>
    <row r="4" customFormat="false" ht="12.8" hidden="false" customHeight="false" outlineLevel="0" collapsed="false">
      <c r="A4" s="0" t="n">
        <f aca="false">'Исходные данные'!A4</f>
        <v>0.39169</v>
      </c>
      <c r="B4" s="0" t="n">
        <f aca="false">'Исходные данные'!B4</f>
        <v>1.51772</v>
      </c>
      <c r="H4" s="0" t="n">
        <f aca="false">H3+6*$E$12/19</f>
        <v>-0.0947938355216395</v>
      </c>
      <c r="I4" s="0" t="n">
        <f aca="false">_xlfn.NORM.DIST(H4,$E$11,$E$12,0)</f>
        <v>0.099107684213055</v>
      </c>
      <c r="J4" s="0" t="n">
        <f aca="false">_xlfn.NORM.DIST(H4,$E$11,$E$12,1)</f>
        <v>0.00893209625607214</v>
      </c>
    </row>
    <row r="5" customFormat="false" ht="12.8" hidden="false" customHeight="false" outlineLevel="0" collapsed="false">
      <c r="A5" s="0" t="n">
        <f aca="false">'Исходные данные'!A5</f>
        <v>0.996682</v>
      </c>
      <c r="B5" s="0" t="n">
        <f aca="false">'Исходные данные'!B5</f>
        <v>2.5144</v>
      </c>
      <c r="H5" s="0" t="n">
        <f aca="false">H4+6*$E$12/19</f>
        <v>-0.0178576441187542</v>
      </c>
      <c r="I5" s="0" t="n">
        <f aca="false">_xlfn.NORM.DIST(H5,$E$11,$E$12,0)</f>
        <v>0.199191748310535</v>
      </c>
      <c r="J5" s="0" t="n">
        <f aca="false">_xlfn.NORM.DIST(H5,$E$11,$E$12,1)</f>
        <v>0.0200541612246806</v>
      </c>
    </row>
    <row r="6" customFormat="false" ht="12.8" hidden="false" customHeight="false" outlineLevel="0" collapsed="false">
      <c r="A6" s="0" t="n">
        <f aca="false">'Исходные данные'!A6</f>
        <v>0.574168</v>
      </c>
      <c r="B6" s="0" t="n">
        <f aca="false">'Исходные данные'!B6</f>
        <v>3.08857</v>
      </c>
      <c r="H6" s="0" t="n">
        <f aca="false">H5+6*$E$12/19</f>
        <v>0.0590785472841311</v>
      </c>
      <c r="I6" s="0" t="n">
        <f aca="false">_xlfn.NORM.DIST(H6,$E$11,$E$12,0)</f>
        <v>0.362348287803115</v>
      </c>
      <c r="J6" s="0" t="n">
        <f aca="false">_xlfn.NORM.DIST(H6,$E$11,$E$12,1)</f>
        <v>0.0412075223724017</v>
      </c>
    </row>
    <row r="7" customFormat="false" ht="12.8" hidden="false" customHeight="false" outlineLevel="0" collapsed="false">
      <c r="A7" s="0" t="n">
        <f aca="false">'Исходные данные'!A7</f>
        <v>0.51831</v>
      </c>
      <c r="B7" s="0" t="n">
        <f aca="false">'Исходные данные'!B7</f>
        <v>3.60688</v>
      </c>
      <c r="H7" s="0" t="n">
        <f aca="false">H6+6*$E$12/19</f>
        <v>0.136014738687016</v>
      </c>
      <c r="I7" s="0" t="n">
        <f aca="false">_xlfn.NORM.DIST(H7,$E$11,$E$12,0)</f>
        <v>0.596584462742815</v>
      </c>
      <c r="J7" s="0" t="n">
        <f aca="false">_xlfn.NORM.DIST(H7,$E$11,$E$12,1)</f>
        <v>0.0776507296135614</v>
      </c>
    </row>
    <row r="8" customFormat="false" ht="12.8" hidden="false" customHeight="false" outlineLevel="0" collapsed="false">
      <c r="A8" s="0" t="n">
        <f aca="false">'Исходные данные'!A8</f>
        <v>0.530825</v>
      </c>
      <c r="B8" s="0" t="n">
        <f aca="false">'Исходные данные'!B8</f>
        <v>4.13771</v>
      </c>
      <c r="H8" s="0" t="n">
        <f aca="false">H7+6*$E$12/19</f>
        <v>0.212950930089902</v>
      </c>
      <c r="I8" s="0" t="n">
        <f aca="false">_xlfn.NORM.DIST(H8,$E$11,$E$12,0)</f>
        <v>0.889013832930682</v>
      </c>
      <c r="J8" s="0" t="n">
        <f aca="false">_xlfn.NORM.DIST(H8,$E$11,$E$12,1)</f>
        <v>0.134522788493091</v>
      </c>
    </row>
    <row r="9" customFormat="false" ht="12.8" hidden="false" customHeight="false" outlineLevel="0" collapsed="false">
      <c r="A9" s="0" t="n">
        <f aca="false">'Исходные данные'!A9</f>
        <v>0.624686</v>
      </c>
      <c r="B9" s="0" t="n">
        <f aca="false">'Исходные данные'!B9</f>
        <v>4.76239</v>
      </c>
      <c r="H9" s="0" t="n">
        <f aca="false">H8+6*$E$12/19</f>
        <v>0.289887121492787</v>
      </c>
      <c r="I9" s="0" t="n">
        <f aca="false">_xlfn.NORM.DIST(H9,$E$11,$E$12,0)</f>
        <v>1.19904630092233</v>
      </c>
      <c r="J9" s="0" t="n">
        <f aca="false">_xlfn.NORM.DIST(H9,$E$11,$E$12,1)</f>
        <v>0.214917602311272</v>
      </c>
    </row>
    <row r="10" customFormat="false" ht="12.8" hidden="false" customHeight="false" outlineLevel="0" collapsed="false">
      <c r="A10" s="0" t="n">
        <f aca="false">'Исходные данные'!A10</f>
        <v>0.134262</v>
      </c>
      <c r="B10" s="0" t="n">
        <f aca="false">'Исходные данные'!B10</f>
        <v>4.89665</v>
      </c>
      <c r="H10" s="0" t="n">
        <f aca="false">H9+6*$E$12/19</f>
        <v>0.366823312895672</v>
      </c>
      <c r="I10" s="0" t="n">
        <f aca="false">_xlfn.NORM.DIST(H10,$E$11,$E$12,0)</f>
        <v>1.46370731625497</v>
      </c>
      <c r="J10" s="0" t="n">
        <f aca="false">_xlfn.NORM.DIST(H10,$E$11,$E$12,1)</f>
        <v>0.317862557254859</v>
      </c>
    </row>
    <row r="11" customFormat="false" ht="17.35" hidden="false" customHeight="false" outlineLevel="0" collapsed="false">
      <c r="A11" s="0" t="n">
        <f aca="false">'Исходные данные'!A11</f>
        <v>0.311794</v>
      </c>
      <c r="B11" s="0" t="n">
        <f aca="false">'Исходные данные'!B11</f>
        <v>5.20845</v>
      </c>
      <c r="D11" s="3" t="s">
        <v>9</v>
      </c>
      <c r="E11" s="8" t="n">
        <f aca="false">AVERAGE(A2:A21)</f>
        <v>0.4822276</v>
      </c>
      <c r="H11" s="0" t="n">
        <f aca="false">H10+6*$E$12/19</f>
        <v>0.443759504298557</v>
      </c>
      <c r="I11" s="0" t="n">
        <f aca="false">_xlfn.NORM.DIST(H11,$E$11,$E$12,0)</f>
        <v>1.6171987189626</v>
      </c>
      <c r="J11" s="0" t="n">
        <f aca="false">_xlfn.NORM.DIST(H11,$E$11,$E$12,1)</f>
        <v>0.437269872716403</v>
      </c>
    </row>
    <row r="12" customFormat="false" ht="17.35" hidden="false" customHeight="false" outlineLevel="0" collapsed="false">
      <c r="A12" s="0" t="n">
        <f aca="false">'Исходные данные'!A12</f>
        <v>0.533984</v>
      </c>
      <c r="B12" s="0" t="n">
        <f aca="false">'Исходные данные'!B12</f>
        <v>5.74243</v>
      </c>
      <c r="D12" s="3" t="s">
        <v>10</v>
      </c>
      <c r="E12" s="8" t="n">
        <f aca="false">STDEV(A2:A21)</f>
        <v>0.243631272775803</v>
      </c>
      <c r="H12" s="0" t="n">
        <f aca="false">H11+6*$E$12/19</f>
        <v>0.520695695701443</v>
      </c>
      <c r="I12" s="0" t="n">
        <f aca="false">_xlfn.NORM.DIST(H12,$E$11,$E$12,0)</f>
        <v>1.6171987189626</v>
      </c>
      <c r="J12" s="0" t="n">
        <f aca="false">_xlfn.NORM.DIST(H12,$E$11,$E$12,1)</f>
        <v>0.562730127283597</v>
      </c>
    </row>
    <row r="13" customFormat="false" ht="12.8" hidden="false" customHeight="false" outlineLevel="0" collapsed="false">
      <c r="A13" s="0" t="n">
        <f aca="false">'Исходные данные'!A13</f>
        <v>0.440809</v>
      </c>
      <c r="B13" s="0" t="n">
        <f aca="false">'Исходные данные'!B13</f>
        <v>6.18324</v>
      </c>
      <c r="H13" s="0" t="n">
        <f aca="false">H12+6*$E$12/19</f>
        <v>0.597631887104328</v>
      </c>
      <c r="I13" s="0" t="n">
        <f aca="false">_xlfn.NORM.DIST(H13,$E$11,$E$12,0)</f>
        <v>1.46370731625497</v>
      </c>
      <c r="J13" s="0" t="n">
        <f aca="false">_xlfn.NORM.DIST(H13,$E$11,$E$12,1)</f>
        <v>0.682137442745141</v>
      </c>
    </row>
    <row r="14" customFormat="false" ht="12.8" hidden="false" customHeight="false" outlineLevel="0" collapsed="false">
      <c r="A14" s="0" t="n">
        <f aca="false">'Исходные данные'!A14</f>
        <v>0.063503</v>
      </c>
      <c r="B14" s="0" t="n">
        <f aca="false">'Исходные данные'!B14</f>
        <v>6.24674</v>
      </c>
      <c r="H14" s="0" t="n">
        <f aca="false">H13+6*$E$12/19</f>
        <v>0.674568078507213</v>
      </c>
      <c r="I14" s="0" t="n">
        <f aca="false">_xlfn.NORM.DIST(H14,$E$11,$E$12,0)</f>
        <v>1.19904630092233</v>
      </c>
      <c r="J14" s="0" t="n">
        <f aca="false">_xlfn.NORM.DIST(H14,$E$11,$E$12,1)</f>
        <v>0.785082397688728</v>
      </c>
    </row>
    <row r="15" customFormat="false" ht="12.8" hidden="false" customHeight="false" outlineLevel="0" collapsed="false">
      <c r="A15" s="0" t="n">
        <f aca="false">'Исходные данные'!A15</f>
        <v>0.872792</v>
      </c>
      <c r="B15" s="0" t="n">
        <f aca="false">'Исходные данные'!B15</f>
        <v>7.11953</v>
      </c>
      <c r="H15" s="0" t="n">
        <f aca="false">H14+6*$E$12/19</f>
        <v>0.751504269910098</v>
      </c>
      <c r="I15" s="0" t="n">
        <f aca="false">_xlfn.NORM.DIST(H15,$E$11,$E$12,0)</f>
        <v>0.889013832930683</v>
      </c>
      <c r="J15" s="0" t="n">
        <f aca="false">_xlfn.NORM.DIST(H15,$E$11,$E$12,1)</f>
        <v>0.865477211506909</v>
      </c>
    </row>
    <row r="16" customFormat="false" ht="12.8" hidden="false" customHeight="false" outlineLevel="0" collapsed="false">
      <c r="A16" s="0" t="n">
        <f aca="false">'Исходные данные'!A16</f>
        <v>0.224759</v>
      </c>
      <c r="B16" s="0" t="n">
        <f aca="false">'Исходные данные'!B16</f>
        <v>7.34429</v>
      </c>
      <c r="H16" s="0" t="n">
        <f aca="false">H15+6*$E$12/19</f>
        <v>0.828440461312983</v>
      </c>
      <c r="I16" s="0" t="n">
        <f aca="false">_xlfn.NORM.DIST(H16,$E$11,$E$12,0)</f>
        <v>0.596584462742816</v>
      </c>
      <c r="J16" s="0" t="n">
        <f aca="false">_xlfn.NORM.DIST(H16,$E$11,$E$12,1)</f>
        <v>0.922349270386438</v>
      </c>
    </row>
    <row r="17" customFormat="false" ht="12.8" hidden="false" customHeight="false" outlineLevel="0" collapsed="false">
      <c r="A17" s="0" t="n">
        <f aca="false">'Исходные данные'!A17</f>
        <v>0.202601</v>
      </c>
      <c r="B17" s="0" t="n">
        <f aca="false">'Исходные данные'!B17</f>
        <v>7.54689</v>
      </c>
      <c r="H17" s="0" t="n">
        <f aca="false">H16+6*$E$12/19</f>
        <v>0.905376652715869</v>
      </c>
      <c r="I17" s="0" t="n">
        <f aca="false">_xlfn.NORM.DIST(H17,$E$11,$E$12,0)</f>
        <v>0.362348287803116</v>
      </c>
      <c r="J17" s="0" t="n">
        <f aca="false">_xlfn.NORM.DIST(H17,$E$11,$E$12,1)</f>
        <v>0.958792477627598</v>
      </c>
    </row>
    <row r="18" customFormat="false" ht="12.8" hidden="false" customHeight="false" outlineLevel="0" collapsed="false">
      <c r="A18" s="0" t="n">
        <f aca="false">'Исходные данные'!A18</f>
        <v>0.700437</v>
      </c>
      <c r="B18" s="0" t="n">
        <f aca="false">'Исходные данные'!B18</f>
        <v>8.24733</v>
      </c>
      <c r="H18" s="0" t="n">
        <f aca="false">H17+6*$E$12/19</f>
        <v>0.982312844118754</v>
      </c>
      <c r="I18" s="0" t="n">
        <f aca="false">_xlfn.NORM.DIST(H18,$E$11,$E$12,0)</f>
        <v>0.199191748310535</v>
      </c>
      <c r="J18" s="0" t="n">
        <f aca="false">_xlfn.NORM.DIST(H18,$E$11,$E$12,1)</f>
        <v>0.979945838775319</v>
      </c>
    </row>
    <row r="19" customFormat="false" ht="12.8" hidden="false" customHeight="false" outlineLevel="0" collapsed="false">
      <c r="A19" s="0" t="n">
        <f aca="false">'Исходные данные'!A19</f>
        <v>0.488813</v>
      </c>
      <c r="B19" s="0" t="n">
        <f aca="false">'Исходные данные'!B19</f>
        <v>8.73615</v>
      </c>
      <c r="H19" s="0" t="n">
        <f aca="false">H18+6*$E$12/19</f>
        <v>1.05924903552164</v>
      </c>
      <c r="I19" s="0" t="n">
        <f aca="false">_xlfn.NORM.DIST(H19,$E$11,$E$12,0)</f>
        <v>0.0991076842130554</v>
      </c>
      <c r="J19" s="0" t="n">
        <f aca="false">_xlfn.NORM.DIST(H19,$E$11,$E$12,1)</f>
        <v>0.991067903743928</v>
      </c>
    </row>
    <row r="20" customFormat="false" ht="12.8" hidden="false" customHeight="false" outlineLevel="0" collapsed="false">
      <c r="A20" s="0" t="n">
        <f aca="false">'Исходные данные'!A20</f>
        <v>0.198562</v>
      </c>
      <c r="B20" s="0" t="n">
        <f aca="false">'Исходные данные'!B20</f>
        <v>8.93471</v>
      </c>
      <c r="H20" s="0" t="n">
        <f aca="false">H19+6*$E$12/19</f>
        <v>1.13618522692452</v>
      </c>
      <c r="I20" s="0" t="n">
        <f aca="false">_xlfn.NORM.DIST(H20,$E$11,$E$12,0)</f>
        <v>0.0446307482800453</v>
      </c>
      <c r="J20" s="0" t="n">
        <f aca="false">_xlfn.NORM.DIST(H20,$E$11,$E$12,1)</f>
        <v>0.996364934480335</v>
      </c>
    </row>
    <row r="21" customFormat="false" ht="17.35" hidden="false" customHeight="false" outlineLevel="0" collapsed="false">
      <c r="A21" s="0" t="n">
        <f aca="false">'Исходные данные'!A21</f>
        <v>0.709845</v>
      </c>
      <c r="B21" s="0" t="n">
        <f aca="false">'Исходные данные'!B21</f>
        <v>9.64455</v>
      </c>
      <c r="F21" s="1" t="s">
        <v>11</v>
      </c>
      <c r="G21" s="0" t="n">
        <f aca="false">(E11+3*E12)</f>
        <v>1.21312141832741</v>
      </c>
      <c r="H21" s="0" t="n">
        <f aca="false">H20+6*$E$12/19</f>
        <v>1.21312141832741</v>
      </c>
      <c r="I21" s="0" t="n">
        <f aca="false">_xlfn.NORM.DIST(H21,$E$11,$E$12,0)</f>
        <v>0.0181908026890142</v>
      </c>
      <c r="J21" s="0" t="n">
        <f aca="false">_xlfn.NORM.DIST(H21,$E$11,$E$12,1)</f>
        <v>0.99865010196837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37" colorId="64" zoomScale="120" zoomScaleNormal="120" zoomScalePageLayoutView="100" workbookViewId="0">
      <selection pane="topLeft" activeCell="E48" activeCellId="0" sqref="E48"/>
    </sheetView>
  </sheetViews>
  <sheetFormatPr defaultColWidth="11.53515625" defaultRowHeight="12.8" zeroHeight="false" outlineLevelRow="0" outlineLevelCol="0"/>
  <cols>
    <col collapsed="false" customWidth="true" hidden="false" outlineLevel="0" max="8" min="8" style="0" width="9.18"/>
    <col collapsed="false" customWidth="true" hidden="false" outlineLevel="0" max="9" min="9" style="0" width="36.58"/>
    <col collapsed="false" customWidth="true" hidden="false" outlineLevel="0" max="10" min="10" style="0" width="32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F1" s="2"/>
      <c r="H1" s="1" t="s">
        <v>5</v>
      </c>
      <c r="I1" s="1" t="s">
        <v>6</v>
      </c>
      <c r="J1" s="1" t="s">
        <v>7</v>
      </c>
    </row>
    <row r="2" customFormat="false" ht="17.35" hidden="false" customHeight="false" outlineLevel="0" collapsed="false">
      <c r="A2" s="0" t="n">
        <f aca="false">'Исходные данные'!A2</f>
        <v>0.59931</v>
      </c>
      <c r="B2" s="0" t="n">
        <f aca="false">'Исходные данные'!B2</f>
        <v>0.59931</v>
      </c>
      <c r="F2" s="1" t="s">
        <v>8</v>
      </c>
      <c r="G2" s="0" t="n">
        <f aca="false">(E46-3*E47)</f>
        <v>-0.319392790419143</v>
      </c>
      <c r="H2" s="0" t="n">
        <f aca="false">(E46-3*E47)</f>
        <v>-0.319392790419143</v>
      </c>
      <c r="I2" s="0" t="n">
        <f aca="false">_xlfn.NORM.DIST(H2,$E$46,$E$47,0)</f>
        <v>0.0157017058855254</v>
      </c>
      <c r="J2" s="0" t="n">
        <f aca="false">_xlfn.NORM.DIST(H2,$E$46,$E$47,1)</f>
        <v>0.00134989803163009</v>
      </c>
    </row>
    <row r="3" customFormat="false" ht="12.8" hidden="false" customHeight="false" outlineLevel="0" collapsed="false">
      <c r="A3" s="0" t="n">
        <f aca="false">'Исходные данные'!A3</f>
        <v>0.52672</v>
      </c>
      <c r="B3" s="0" t="n">
        <f aca="false">'Исходные данные'!B3</f>
        <v>1.12603</v>
      </c>
      <c r="H3" s="0" t="n">
        <f aca="false">H2+6*$E$47/49</f>
        <v>-0.284831238973464</v>
      </c>
      <c r="I3" s="0" t="n">
        <f aca="false">_xlfn.NORM.DIST(H3,$E$46,$E$47,0)</f>
        <v>0.0225023427059504</v>
      </c>
      <c r="J3" s="0" t="n">
        <f aca="false">_xlfn.NORM.DIST(H3,$E$46,$E$47,1)</f>
        <v>0.00200387547931102</v>
      </c>
    </row>
    <row r="4" customFormat="false" ht="12.8" hidden="false" customHeight="false" outlineLevel="0" collapsed="false">
      <c r="A4" s="0" t="n">
        <f aca="false">'Исходные данные'!A4</f>
        <v>0.39169</v>
      </c>
      <c r="B4" s="0" t="n">
        <f aca="false">'Исходные данные'!B4</f>
        <v>1.51772</v>
      </c>
      <c r="H4" s="0" t="n">
        <f aca="false">H3+6*$E$47/49</f>
        <v>-0.250269687527784</v>
      </c>
      <c r="I4" s="0" t="n">
        <f aca="false">_xlfn.NORM.DIST(H4,$E$46,$E$47,0)</f>
        <v>0.0317685159195791</v>
      </c>
      <c r="J4" s="0" t="n">
        <f aca="false">_xlfn.NORM.DIST(H4,$E$46,$E$47,1)</f>
        <v>0.0029336916705086</v>
      </c>
    </row>
    <row r="5" customFormat="false" ht="12.8" hidden="false" customHeight="false" outlineLevel="0" collapsed="false">
      <c r="A5" s="0" t="n">
        <f aca="false">'Исходные данные'!A5</f>
        <v>0.996682</v>
      </c>
      <c r="B5" s="0" t="n">
        <f aca="false">'Исходные данные'!B5</f>
        <v>2.5144</v>
      </c>
      <c r="H5" s="0" t="n">
        <f aca="false">H4+6*$E$47/49</f>
        <v>-0.215708136082105</v>
      </c>
      <c r="I5" s="0" t="n">
        <f aca="false">_xlfn.NORM.DIST(H5,$E$46,$E$47,0)</f>
        <v>0.0441829200941367</v>
      </c>
      <c r="J5" s="0" t="n">
        <f aca="false">_xlfn.NORM.DIST(H5,$E$46,$E$47,1)</f>
        <v>0.00423604197799888</v>
      </c>
    </row>
    <row r="6" customFormat="false" ht="12.8" hidden="false" customHeight="false" outlineLevel="0" collapsed="false">
      <c r="A6" s="0" t="n">
        <f aca="false">'Исходные данные'!A6</f>
        <v>0.574168</v>
      </c>
      <c r="B6" s="0" t="n">
        <f aca="false">'Исходные данные'!B6</f>
        <v>3.08857</v>
      </c>
      <c r="H6" s="0" t="n">
        <f aca="false">H5+6*$E$47/49</f>
        <v>-0.181146584636426</v>
      </c>
      <c r="I6" s="0" t="n">
        <f aca="false">_xlfn.NORM.DIST(H6,$E$46,$E$47,0)</f>
        <v>0.0605341153297176</v>
      </c>
      <c r="J6" s="0" t="n">
        <f aca="false">_xlfn.NORM.DIST(H6,$E$46,$E$47,1)</f>
        <v>0.00603307026556419</v>
      </c>
    </row>
    <row r="7" customFormat="false" ht="12.8" hidden="false" customHeight="false" outlineLevel="0" collapsed="false">
      <c r="A7" s="0" t="n">
        <f aca="false">'Исходные данные'!A7</f>
        <v>0.51831</v>
      </c>
      <c r="B7" s="0" t="n">
        <f aca="false">'Исходные данные'!B7</f>
        <v>3.60688</v>
      </c>
      <c r="H7" s="0" t="n">
        <f aca="false">H6+6*$E$47/49</f>
        <v>-0.146585033190746</v>
      </c>
      <c r="I7" s="0" t="n">
        <f aca="false">_xlfn.NORM.DIST(H7,$E$46,$E$47,0)</f>
        <v>0.0817022995649568</v>
      </c>
      <c r="J7" s="0" t="n">
        <f aca="false">_xlfn.NORM.DIST(H7,$E$46,$E$47,1)</f>
        <v>0.00847581675693694</v>
      </c>
    </row>
    <row r="8" customFormat="false" ht="12.8" hidden="false" customHeight="false" outlineLevel="0" collapsed="false">
      <c r="A8" s="0" t="n">
        <f aca="false">'Исходные данные'!A8</f>
        <v>0.530825</v>
      </c>
      <c r="B8" s="0" t="n">
        <f aca="false">'Исходные данные'!B8</f>
        <v>4.13771</v>
      </c>
      <c r="H8" s="0" t="n">
        <f aca="false">H7+6*$E$47/49</f>
        <v>-0.112023481745067</v>
      </c>
      <c r="I8" s="0" t="n">
        <f aca="false">_xlfn.NORM.DIST(H8,$E$46,$E$47,0)</f>
        <v>0.108631720162353</v>
      </c>
      <c r="J8" s="0" t="n">
        <f aca="false">_xlfn.NORM.DIST(H8,$E$46,$E$47,1)</f>
        <v>0.0117469503007989</v>
      </c>
    </row>
    <row r="9" customFormat="false" ht="12.8" hidden="false" customHeight="false" outlineLevel="0" collapsed="false">
      <c r="A9" s="0" t="n">
        <f aca="false">'Исходные данные'!A9</f>
        <v>0.624686</v>
      </c>
      <c r="B9" s="0" t="n">
        <f aca="false">'Исходные данные'!B9</f>
        <v>4.76239</v>
      </c>
      <c r="H9" s="0" t="n">
        <f aca="false">H8+6*$E$47/49</f>
        <v>-0.0774619302993878</v>
      </c>
      <c r="I9" s="0" t="n">
        <f aca="false">_xlfn.NORM.DIST(H9,$E$46,$E$47,0)</f>
        <v>0.142287690036815</v>
      </c>
      <c r="J9" s="0" t="n">
        <f aca="false">_xlfn.NORM.DIST(H9,$E$46,$E$47,1)</f>
        <v>0.0160622856038283</v>
      </c>
    </row>
    <row r="10" customFormat="false" ht="12.8" hidden="false" customHeight="false" outlineLevel="0" collapsed="false">
      <c r="A10" s="0" t="n">
        <f aca="false">'Исходные данные'!A10</f>
        <v>0.134262</v>
      </c>
      <c r="B10" s="0" t="n">
        <f aca="false">'Исходные данные'!B10</f>
        <v>4.89665</v>
      </c>
      <c r="H10" s="0" t="n">
        <f aca="false">H9+6*$E$47/49</f>
        <v>-0.0429003788537085</v>
      </c>
      <c r="I10" s="0" t="n">
        <f aca="false">_xlfn.NORM.DIST(H10,$E$46,$E$47,0)</f>
        <v>0.183597302990851</v>
      </c>
      <c r="J10" s="0" t="n">
        <f aca="false">_xlfn.NORM.DIST(H10,$E$46,$E$47,1)</f>
        <v>0.0216705336857596</v>
      </c>
    </row>
    <row r="11" customFormat="false" ht="12.8" hidden="false" customHeight="false" outlineLevel="0" collapsed="false">
      <c r="A11" s="0" t="n">
        <f aca="false">'Исходные данные'!A11</f>
        <v>0.311794</v>
      </c>
      <c r="B11" s="0" t="n">
        <f aca="false">'Исходные данные'!B11</f>
        <v>5.20845</v>
      </c>
      <c r="H11" s="0" t="n">
        <f aca="false">H10+6*$E$47/49</f>
        <v>-0.00833882740802916</v>
      </c>
      <c r="I11" s="0" t="n">
        <f aca="false">_xlfn.NORM.DIST(H11,$E$46,$E$47,0)</f>
        <v>0.23337458652372</v>
      </c>
      <c r="J11" s="0" t="n">
        <f aca="false">_xlfn.NORM.DIST(H11,$E$46,$E$47,1)</f>
        <v>0.0288507295058293</v>
      </c>
    </row>
    <row r="12" customFormat="false" ht="12.8" hidden="false" customHeight="false" outlineLevel="0" collapsed="false">
      <c r="A12" s="0" t="n">
        <f aca="false">'Исходные данные'!A12</f>
        <v>0.533984</v>
      </c>
      <c r="B12" s="0" t="n">
        <f aca="false">'Исходные данные'!B12</f>
        <v>5.74243</v>
      </c>
      <c r="H12" s="0" t="n">
        <f aca="false">H11+6*$E$47/49</f>
        <v>0.0262227240376501</v>
      </c>
      <c r="I12" s="0" t="n">
        <f aca="false">_xlfn.NORM.DIST(H12,$E$46,$E$47,0)</f>
        <v>0.29223290937768</v>
      </c>
      <c r="J12" s="0" t="n">
        <f aca="false">_xlfn.NORM.DIST(H12,$E$46,$E$47,1)</f>
        <v>0.0379068411005998</v>
      </c>
    </row>
    <row r="13" customFormat="false" ht="12.8" hidden="false" customHeight="false" outlineLevel="0" collapsed="false">
      <c r="A13" s="0" t="n">
        <f aca="false">'Исходные данные'!A13</f>
        <v>0.440809</v>
      </c>
      <c r="B13" s="0" t="n">
        <f aca="false">'Исходные данные'!B13</f>
        <v>6.18324</v>
      </c>
      <c r="H13" s="0" t="n">
        <f aca="false">H12+6*$E$47/49</f>
        <v>0.0607842754833294</v>
      </c>
      <c r="I13" s="0" t="n">
        <f aca="false">_xlfn.NORM.DIST(H13,$E$46,$E$47,0)</f>
        <v>0.360489797597774</v>
      </c>
      <c r="J13" s="0" t="n">
        <f aca="false">_xlfn.NORM.DIST(H13,$E$46,$E$47,1)</f>
        <v>0.0491592019255945</v>
      </c>
    </row>
    <row r="14" customFormat="false" ht="12.8" hidden="false" customHeight="false" outlineLevel="0" collapsed="false">
      <c r="A14" s="0" t="n">
        <f aca="false">'Исходные данные'!A14</f>
        <v>0.063503</v>
      </c>
      <c r="B14" s="0" t="n">
        <f aca="false">'Исходные данные'!B14</f>
        <v>6.24674</v>
      </c>
      <c r="H14" s="0" t="n">
        <f aca="false">H13+6*$E$47/49</f>
        <v>0.0953458269290087</v>
      </c>
      <c r="I14" s="0" t="n">
        <f aca="false">_xlfn.NORM.DIST(H14,$E$46,$E$47,0)</f>
        <v>0.438071631597527</v>
      </c>
      <c r="J14" s="0" t="n">
        <f aca="false">_xlfn.NORM.DIST(H14,$E$46,$E$47,1)</f>
        <v>0.0629326268108512</v>
      </c>
    </row>
    <row r="15" customFormat="false" ht="12.8" hidden="false" customHeight="false" outlineLevel="0" collapsed="false">
      <c r="A15" s="0" t="n">
        <f aca="false">'Исходные данные'!A15</f>
        <v>0.872792</v>
      </c>
      <c r="B15" s="0" t="n">
        <f aca="false">'Исходные данные'!B15</f>
        <v>7.11953</v>
      </c>
      <c r="H15" s="0" t="n">
        <f aca="false">H14+6*$E$47/49</f>
        <v>0.129907378374688</v>
      </c>
      <c r="I15" s="0" t="n">
        <f aca="false">_xlfn.NORM.DIST(H15,$E$46,$E$47,0)</f>
        <v>0.524427646473951</v>
      </c>
      <c r="J15" s="0" t="n">
        <f aca="false">_xlfn.NORM.DIST(H15,$E$46,$E$47,1)</f>
        <v>0.0795413655075694</v>
      </c>
    </row>
    <row r="16" customFormat="false" ht="12.8" hidden="false" customHeight="false" outlineLevel="0" collapsed="false">
      <c r="A16" s="0" t="n">
        <f aca="false">'Исходные данные'!A16</f>
        <v>0.224759</v>
      </c>
      <c r="B16" s="0" t="n">
        <f aca="false">'Исходные данные'!B16</f>
        <v>7.34429</v>
      </c>
      <c r="H16" s="0" t="n">
        <f aca="false">H15+6*$E$47/49</f>
        <v>0.164468929820367</v>
      </c>
      <c r="I16" s="0" t="n">
        <f aca="false">_xlfn.NORM.DIST(H16,$E$46,$E$47,0)</f>
        <v>0.618463854372013</v>
      </c>
      <c r="J16" s="0" t="n">
        <f aca="false">_xlfn.NORM.DIST(H16,$E$46,$E$47,1)</f>
        <v>0.099271396843331</v>
      </c>
    </row>
    <row r="17" customFormat="false" ht="12.8" hidden="false" customHeight="false" outlineLevel="0" collapsed="false">
      <c r="A17" s="0" t="n">
        <f aca="false">'Исходные данные'!A17</f>
        <v>0.202601</v>
      </c>
      <c r="B17" s="0" t="n">
        <f aca="false">'Исходные данные'!B17</f>
        <v>7.54689</v>
      </c>
      <c r="H17" s="0" t="n">
        <f aca="false">H16+6*$E$47/49</f>
        <v>0.199030481266047</v>
      </c>
      <c r="I17" s="0" t="n">
        <f aca="false">_xlfn.NORM.DIST(H17,$E$46,$E$47,0)</f>
        <v>0.718507594475615</v>
      </c>
      <c r="J17" s="0" t="n">
        <f aca="false">_xlfn.NORM.DIST(H17,$E$46,$E$47,1)</f>
        <v>0.122360938644497</v>
      </c>
    </row>
    <row r="18" customFormat="false" ht="12.8" hidden="false" customHeight="false" outlineLevel="0" collapsed="false">
      <c r="A18" s="0" t="n">
        <f aca="false">'Исходные данные'!A18</f>
        <v>0.700437</v>
      </c>
      <c r="B18" s="0" t="n">
        <f aca="false">'Исходные данные'!B18</f>
        <v>8.24733</v>
      </c>
      <c r="H18" s="0" t="n">
        <f aca="false">H17+6*$E$47/49</f>
        <v>0.233592032711726</v>
      </c>
      <c r="I18" s="0" t="n">
        <f aca="false">_xlfn.NORM.DIST(H18,$E$46,$E$47,0)</f>
        <v>0.822312134620596</v>
      </c>
      <c r="J18" s="0" t="n">
        <f aca="false">_xlfn.NORM.DIST(H18,$E$46,$E$47,1)</f>
        <v>0.148980400617389</v>
      </c>
    </row>
    <row r="19" customFormat="false" ht="12.8" hidden="false" customHeight="false" outlineLevel="0" collapsed="false">
      <c r="A19" s="0" t="n">
        <f aca="false">'Исходные данные'!A19</f>
        <v>0.488813</v>
      </c>
      <c r="B19" s="0" t="n">
        <f aca="false">'Исходные данные'!B19</f>
        <v>8.73615</v>
      </c>
      <c r="H19" s="0" t="n">
        <f aca="false">H18+6*$E$47/49</f>
        <v>0.268153584157405</v>
      </c>
      <c r="I19" s="0" t="n">
        <f aca="false">_xlfn.NORM.DIST(H19,$E$46,$E$47,0)</f>
        <v>0.927108005548726</v>
      </c>
      <c r="J19" s="0" t="n">
        <f aca="false">_xlfn.NORM.DIST(H19,$E$46,$E$47,1)</f>
        <v>0.179213289842405</v>
      </c>
    </row>
    <row r="20" customFormat="false" ht="12.8" hidden="false" customHeight="false" outlineLevel="0" collapsed="false">
      <c r="A20" s="0" t="n">
        <f aca="false">'Исходные данные'!A20</f>
        <v>0.198562</v>
      </c>
      <c r="B20" s="0" t="n">
        <f aca="false">'Исходные данные'!B20</f>
        <v>8.93471</v>
      </c>
      <c r="H20" s="0" t="n">
        <f aca="false">H19+6*$E$47/49</f>
        <v>0.302715135603085</v>
      </c>
      <c r="I20" s="0" t="n">
        <f aca="false">_xlfn.NORM.DIST(H20,$E$46,$E$47,0)</f>
        <v>1.02970366695143</v>
      </c>
      <c r="J20" s="0" t="n">
        <f aca="false">_xlfn.NORM.DIST(H20,$E$46,$E$47,1)</f>
        <v>0.21303974236887</v>
      </c>
    </row>
    <row r="21" customFormat="false" ht="12.8" hidden="false" customHeight="false" outlineLevel="0" collapsed="false">
      <c r="A21" s="0" t="n">
        <f aca="false">'Исходные данные'!A21</f>
        <v>0.709845</v>
      </c>
      <c r="B21" s="0" t="n">
        <f aca="false">'Исходные данные'!B21</f>
        <v>9.64455</v>
      </c>
      <c r="H21" s="0" t="n">
        <f aca="false">H20+6*$E$47/49</f>
        <v>0.337276687048764</v>
      </c>
      <c r="I21" s="0" t="n">
        <f aca="false">_xlfn.NORM.DIST(H21,$E$46,$E$47,0)</f>
        <v>1.12663304028099</v>
      </c>
      <c r="J21" s="0" t="n">
        <f aca="false">_xlfn.NORM.DIST(H21,$E$46,$E$47,1)</f>
        <v>0.250324358826079</v>
      </c>
    </row>
    <row r="22" customFormat="false" ht="12.8" hidden="false" customHeight="false" outlineLevel="0" collapsed="false">
      <c r="A22" s="0" t="n">
        <f aca="false">'Исходные данные'!A22</f>
        <v>0.817932</v>
      </c>
      <c r="B22" s="0" t="n">
        <f aca="false">'Исходные данные'!B22</f>
        <v>10.4625</v>
      </c>
      <c r="H22" s="0" t="n">
        <f aca="false">H21+6*$E$47/49</f>
        <v>0.371838238494443</v>
      </c>
      <c r="I22" s="0" t="n">
        <f aca="false">_xlfn.NORM.DIST(H22,$E$46,$E$47,0)</f>
        <v>1.21434196500815</v>
      </c>
      <c r="J22" s="0" t="n">
        <f aca="false">_xlfn.NORM.DIST(H22,$E$46,$E$47,1)</f>
        <v>0.290809842319687</v>
      </c>
    </row>
    <row r="23" customFormat="false" ht="12.8" hidden="false" customHeight="false" outlineLevel="0" collapsed="false">
      <c r="A23" s="0" t="n">
        <f aca="false">'Исходные данные'!A23</f>
        <v>0.0212862</v>
      </c>
      <c r="B23" s="0" t="n">
        <f aca="false">'Исходные данные'!B23</f>
        <v>10.4838</v>
      </c>
      <c r="H23" s="0" t="n">
        <f aca="false">H22+6*$E$47/49</f>
        <v>0.406399789940122</v>
      </c>
      <c r="I23" s="0" t="n">
        <f aca="false">_xlfn.NORM.DIST(H23,$E$46,$E$47,0)</f>
        <v>1.289400456461</v>
      </c>
      <c r="J23" s="0" t="n">
        <f aca="false">_xlfn.NORM.DIST(H23,$E$46,$E$47,1)</f>
        <v>0.334117570897625</v>
      </c>
    </row>
    <row r="24" customFormat="false" ht="12.8" hidden="false" customHeight="false" outlineLevel="0" collapsed="false">
      <c r="A24" s="0" t="n">
        <f aca="false">'Исходные данные'!A24</f>
        <v>0.944932</v>
      </c>
      <c r="B24" s="0" t="n">
        <f aca="false">'Исходные данные'!B24</f>
        <v>11.4287</v>
      </c>
      <c r="H24" s="0" t="n">
        <f aca="false">H23+6*$E$47/49</f>
        <v>0.440961341385802</v>
      </c>
      <c r="I24" s="0" t="n">
        <f aca="false">_xlfn.NORM.DIST(H24,$E$46,$E$47,0)</f>
        <v>1.34872352176682</v>
      </c>
      <c r="J24" s="0" t="n">
        <f aca="false">_xlfn.NORM.DIST(H24,$E$46,$E$47,1)</f>
        <v>0.379755708037786</v>
      </c>
    </row>
    <row r="25" customFormat="false" ht="12.8" hidden="false" customHeight="false" outlineLevel="0" collapsed="false">
      <c r="A25" s="0" t="n">
        <f aca="false">'Исходные данные'!A25</f>
        <v>0.371683</v>
      </c>
      <c r="B25" s="0" t="n">
        <f aca="false">'Исходные данные'!B25</f>
        <v>11.8004</v>
      </c>
      <c r="H25" s="0" t="n">
        <f aca="false">H24+6*$E$47/49</f>
        <v>0.475522892831481</v>
      </c>
      <c r="I25" s="0" t="n">
        <f aca="false">_xlfn.NORM.DIST(H25,$E$46,$E$47,0)</f>
        <v>1.38978090292003</v>
      </c>
      <c r="J25" s="0" t="n">
        <f aca="false">_xlfn.NORM.DIST(H25,$E$46,$E$47,1)</f>
        <v>0.427134811575612</v>
      </c>
    </row>
    <row r="26" customFormat="false" ht="12.8" hidden="false" customHeight="false" outlineLevel="0" collapsed="false">
      <c r="A26" s="0" t="n">
        <f aca="false">'Исходные данные'!A26</f>
        <v>0.878309</v>
      </c>
      <c r="B26" s="0" t="n">
        <f aca="false">'Исходные данные'!B26</f>
        <v>12.6787</v>
      </c>
      <c r="H26" s="0" t="n">
        <f aca="false">H25+6*$E$47/49</f>
        <v>0.51008444427716</v>
      </c>
      <c r="I26" s="0" t="n">
        <f aca="false">_xlfn.NORM.DIST(H26,$E$46,$E$47,0)</f>
        <v>1.41077593780277</v>
      </c>
      <c r="J26" s="0" t="n">
        <f aca="false">_xlfn.NORM.DIST(H26,$E$46,$E$47,1)</f>
        <v>0.4755902131389</v>
      </c>
    </row>
    <row r="27" customFormat="false" ht="12.8" hidden="false" customHeight="false" outlineLevel="0" collapsed="false">
      <c r="A27" s="0" t="n">
        <f aca="false">'Исходные данные'!A27</f>
        <v>0.602046</v>
      </c>
      <c r="B27" s="0" t="n">
        <f aca="false">'Исходные данные'!B27</f>
        <v>13.2807</v>
      </c>
      <c r="H27" s="0" t="n">
        <f aca="false">H26+6*$E$47/49</f>
        <v>0.54464599572284</v>
      </c>
      <c r="I27" s="0" t="n">
        <f aca="false">_xlfn.NORM.DIST(H27,$E$46,$E$47,0)</f>
        <v>1.41077593780277</v>
      </c>
      <c r="J27" s="0" t="n">
        <f aca="false">_xlfn.NORM.DIST(H27,$E$46,$E$47,1)</f>
        <v>0.5244097868611</v>
      </c>
    </row>
    <row r="28" customFormat="false" ht="12.8" hidden="false" customHeight="false" outlineLevel="0" collapsed="false">
      <c r="A28" s="0" t="n">
        <f aca="false">'Исходные данные'!A28</f>
        <v>0.820565</v>
      </c>
      <c r="B28" s="0" t="n">
        <f aca="false">'Исходные данные'!B28</f>
        <v>14.1013</v>
      </c>
      <c r="H28" s="0" t="n">
        <f aca="false">H27+6*$E$47/49</f>
        <v>0.579207547168519</v>
      </c>
      <c r="I28" s="0" t="n">
        <f aca="false">_xlfn.NORM.DIST(H28,$E$46,$E$47,0)</f>
        <v>1.38978090292003</v>
      </c>
      <c r="J28" s="0" t="n">
        <f aca="false">_xlfn.NORM.DIST(H28,$E$46,$E$47,1)</f>
        <v>0.572865188424388</v>
      </c>
    </row>
    <row r="29" customFormat="false" ht="12.8" hidden="false" customHeight="false" outlineLevel="0" collapsed="false">
      <c r="A29" s="0" t="n">
        <f aca="false">'Исходные данные'!A29</f>
        <v>0.101819</v>
      </c>
      <c r="B29" s="0" t="n">
        <f aca="false">'Исходные данные'!B29</f>
        <v>14.2031</v>
      </c>
      <c r="H29" s="0" t="n">
        <f aca="false">H28+6*$E$47/49</f>
        <v>0.613769098614198</v>
      </c>
      <c r="I29" s="0" t="n">
        <f aca="false">_xlfn.NORM.DIST(H29,$E$46,$E$47,0)</f>
        <v>1.34872352176682</v>
      </c>
      <c r="J29" s="0" t="n">
        <f aca="false">_xlfn.NORM.DIST(H29,$E$46,$E$47,1)</f>
        <v>0.620244291962214</v>
      </c>
    </row>
    <row r="30" customFormat="false" ht="12.8" hidden="false" customHeight="false" outlineLevel="0" collapsed="false">
      <c r="A30" s="0" t="n">
        <f aca="false">'Исходные данные'!A30</f>
        <v>0.820174</v>
      </c>
      <c r="B30" s="0" t="n">
        <f aca="false">'Исходные данные'!B30</f>
        <v>15.0233</v>
      </c>
      <c r="H30" s="0" t="n">
        <f aca="false">H29+6*$E$47/49</f>
        <v>0.648330650059877</v>
      </c>
      <c r="I30" s="0" t="n">
        <f aca="false">_xlfn.NORM.DIST(H30,$E$46,$E$47,0)</f>
        <v>1.289400456461</v>
      </c>
      <c r="J30" s="0" t="n">
        <f aca="false">_xlfn.NORM.DIST(H30,$E$46,$E$47,1)</f>
        <v>0.665882429102375</v>
      </c>
    </row>
    <row r="31" customFormat="false" ht="12.8" hidden="false" customHeight="false" outlineLevel="0" collapsed="false">
      <c r="A31" s="0" t="n">
        <f aca="false">'Исходные данные'!A31</f>
        <v>0.286249</v>
      </c>
      <c r="B31" s="0" t="n">
        <f aca="false">'Исходные данные'!B31</f>
        <v>15.3095</v>
      </c>
      <c r="H31" s="0" t="n">
        <f aca="false">H30+6*$E$47/49</f>
        <v>0.682892201505557</v>
      </c>
      <c r="I31" s="0" t="n">
        <f aca="false">_xlfn.NORM.DIST(H31,$E$46,$E$47,0)</f>
        <v>1.21434196500815</v>
      </c>
      <c r="J31" s="0" t="n">
        <f aca="false">_xlfn.NORM.DIST(H31,$E$46,$E$47,1)</f>
        <v>0.709190157680313</v>
      </c>
    </row>
    <row r="32" customFormat="false" ht="12.8" hidden="false" customHeight="false" outlineLevel="0" collapsed="false">
      <c r="A32" s="0" t="n">
        <f aca="false">'Исходные данные'!A32</f>
        <v>0.993986</v>
      </c>
      <c r="B32" s="0" t="n">
        <f aca="false">'Исходные данные'!B32</f>
        <v>16.3035</v>
      </c>
      <c r="H32" s="0" t="n">
        <f aca="false">H31+6*$E$47/49</f>
        <v>0.717453752951236</v>
      </c>
      <c r="I32" s="0" t="n">
        <f aca="false">_xlfn.NORM.DIST(H32,$E$46,$E$47,0)</f>
        <v>1.12663304028099</v>
      </c>
      <c r="J32" s="0" t="n">
        <f aca="false">_xlfn.NORM.DIST(H32,$E$46,$E$47,1)</f>
        <v>0.749675641173921</v>
      </c>
    </row>
    <row r="33" customFormat="false" ht="12.8" hidden="false" customHeight="false" outlineLevel="0" collapsed="false">
      <c r="A33" s="0" t="n">
        <f aca="false">'Исходные данные'!A33</f>
        <v>0.20081</v>
      </c>
      <c r="B33" s="0" t="n">
        <f aca="false">'Исходные данные'!B33</f>
        <v>16.5043</v>
      </c>
      <c r="H33" s="0" t="n">
        <f aca="false">H32+6*$E$47/49</f>
        <v>0.752015304396915</v>
      </c>
      <c r="I33" s="0" t="n">
        <f aca="false">_xlfn.NORM.DIST(H33,$E$46,$E$47,0)</f>
        <v>1.02970366695143</v>
      </c>
      <c r="J33" s="0" t="n">
        <f aca="false">_xlfn.NORM.DIST(H33,$E$46,$E$47,1)</f>
        <v>0.786960257631129</v>
      </c>
    </row>
    <row r="34" customFormat="false" ht="12.8" hidden="false" customHeight="false" outlineLevel="0" collapsed="false">
      <c r="A34" s="0" t="n">
        <f aca="false">'Исходные данные'!A34</f>
        <v>0.722026</v>
      </c>
      <c r="B34" s="0" t="n">
        <f aca="false">'Исходные данные'!B34</f>
        <v>17.2264</v>
      </c>
      <c r="H34" s="0" t="n">
        <f aca="false">H33+6*$E$47/49</f>
        <v>0.786576855842595</v>
      </c>
      <c r="I34" s="0" t="n">
        <f aca="false">_xlfn.NORM.DIST(H34,$E$46,$E$47,0)</f>
        <v>0.927108005548727</v>
      </c>
      <c r="J34" s="0" t="n">
        <f aca="false">_xlfn.NORM.DIST(H34,$E$46,$E$47,1)</f>
        <v>0.820786710157595</v>
      </c>
    </row>
    <row r="35" customFormat="false" ht="12.8" hidden="false" customHeight="false" outlineLevel="0" collapsed="false">
      <c r="A35" s="0" t="n">
        <f aca="false">'Исходные данные'!A35</f>
        <v>0.553061</v>
      </c>
      <c r="B35" s="0" t="n">
        <f aca="false">'Исходные данные'!B35</f>
        <v>17.7794</v>
      </c>
      <c r="H35" s="0" t="n">
        <f aca="false">H34+6*$E$47/49</f>
        <v>0.821138407288274</v>
      </c>
      <c r="I35" s="0" t="n">
        <f aca="false">_xlfn.NORM.DIST(H35,$E$46,$E$47,0)</f>
        <v>0.822312134620596</v>
      </c>
      <c r="J35" s="0" t="n">
        <f aca="false">_xlfn.NORM.DIST(H35,$E$46,$E$47,1)</f>
        <v>0.851019599382611</v>
      </c>
    </row>
    <row r="36" customFormat="false" ht="12.8" hidden="false" customHeight="false" outlineLevel="0" collapsed="false">
      <c r="A36" s="0" t="n">
        <f aca="false">'Исходные данные'!A36</f>
        <v>0.423688</v>
      </c>
      <c r="B36" s="0" t="n">
        <f aca="false">'Исходные данные'!B36</f>
        <v>18.2031</v>
      </c>
      <c r="H36" s="0" t="n">
        <f aca="false">H35+6*$E$47/49</f>
        <v>0.855699958733953</v>
      </c>
      <c r="I36" s="0" t="n">
        <f aca="false">_xlfn.NORM.DIST(H36,$E$46,$E$47,0)</f>
        <v>0.718507594475615</v>
      </c>
      <c r="J36" s="0" t="n">
        <f aca="false">_xlfn.NORM.DIST(H36,$E$46,$E$47,1)</f>
        <v>0.877639061355503</v>
      </c>
    </row>
    <row r="37" customFormat="false" ht="12.8" hidden="false" customHeight="false" outlineLevel="0" collapsed="false">
      <c r="A37" s="0" t="n">
        <f aca="false">'Исходные данные'!A37</f>
        <v>0.935531</v>
      </c>
      <c r="B37" s="0" t="n">
        <f aca="false">'Исходные данные'!B37</f>
        <v>19.1386</v>
      </c>
      <c r="H37" s="0" t="n">
        <f aca="false">H36+6*$E$47/49</f>
        <v>0.890261510179633</v>
      </c>
      <c r="I37" s="0" t="n">
        <f aca="false">_xlfn.NORM.DIST(H37,$E$46,$E$47,0)</f>
        <v>0.618463854372014</v>
      </c>
      <c r="J37" s="0" t="n">
        <f aca="false">_xlfn.NORM.DIST(H37,$E$46,$E$47,1)</f>
        <v>0.900728603156669</v>
      </c>
    </row>
    <row r="38" customFormat="false" ht="12.8" hidden="false" customHeight="false" outlineLevel="0" collapsed="false">
      <c r="A38" s="0" t="n">
        <f aca="false">'Исходные данные'!A38</f>
        <v>0.722042</v>
      </c>
      <c r="B38" s="0" t="n">
        <f aca="false">'Исходные данные'!B38</f>
        <v>19.8607</v>
      </c>
      <c r="H38" s="0" t="n">
        <f aca="false">H37+6*$E$47/49</f>
        <v>0.924823061625312</v>
      </c>
      <c r="I38" s="0" t="n">
        <f aca="false">_xlfn.NORM.DIST(H38,$E$46,$E$47,0)</f>
        <v>0.524427646473952</v>
      </c>
      <c r="J38" s="0" t="n">
        <f aca="false">_xlfn.NORM.DIST(H38,$E$46,$E$47,1)</f>
        <v>0.920458634492431</v>
      </c>
    </row>
    <row r="39" customFormat="false" ht="12.8" hidden="false" customHeight="false" outlineLevel="0" collapsed="false">
      <c r="A39" s="0" t="n">
        <f aca="false">'Исходные данные'!A39</f>
        <v>0.917558</v>
      </c>
      <c r="B39" s="0" t="n">
        <f aca="false">'Исходные данные'!B39</f>
        <v>20.7782</v>
      </c>
      <c r="H39" s="0" t="n">
        <f aca="false">H38+6*$E$47/49</f>
        <v>0.959384613070991</v>
      </c>
      <c r="I39" s="0" t="n">
        <f aca="false">_xlfn.NORM.DIST(H39,$E$46,$E$47,0)</f>
        <v>0.438071631597527</v>
      </c>
      <c r="J39" s="0" t="n">
        <f aca="false">_xlfn.NORM.DIST(H39,$E$46,$E$47,1)</f>
        <v>0.937067373189149</v>
      </c>
    </row>
    <row r="40" customFormat="false" ht="12.8" hidden="false" customHeight="false" outlineLevel="0" collapsed="false">
      <c r="A40" s="0" t="n">
        <f aca="false">'Исходные данные'!A40</f>
        <v>0.623181</v>
      </c>
      <c r="B40" s="0" t="n">
        <f aca="false">'Исходные данные'!B40</f>
        <v>21.4014</v>
      </c>
      <c r="H40" s="0" t="n">
        <f aca="false">H39+6*$E$47/49</f>
        <v>0.99394616451667</v>
      </c>
      <c r="I40" s="0" t="n">
        <f aca="false">_xlfn.NORM.DIST(H40,$E$46,$E$47,0)</f>
        <v>0.360489797597774</v>
      </c>
      <c r="J40" s="0" t="n">
        <f aca="false">_xlfn.NORM.DIST(H40,$E$46,$E$47,1)</f>
        <v>0.950840798074405</v>
      </c>
    </row>
    <row r="41" customFormat="false" ht="12.8" hidden="false" customHeight="false" outlineLevel="0" collapsed="false">
      <c r="A41" s="0" t="n">
        <f aca="false">'Исходные данные'!A41</f>
        <v>0.854547</v>
      </c>
      <c r="B41" s="0" t="n">
        <f aca="false">'Исходные данные'!B41</f>
        <v>22.256</v>
      </c>
      <c r="H41" s="0" t="n">
        <f aca="false">H40+6*$E$47/49</f>
        <v>1.02850771596235</v>
      </c>
      <c r="I41" s="0" t="n">
        <f aca="false">_xlfn.NORM.DIST(H41,$E$46,$E$47,0)</f>
        <v>0.292232909377681</v>
      </c>
      <c r="J41" s="0" t="n">
        <f aca="false">_xlfn.NORM.DIST(H41,$E$46,$E$47,1)</f>
        <v>0.9620931588994</v>
      </c>
    </row>
    <row r="42" customFormat="false" ht="12.8" hidden="false" customHeight="false" outlineLevel="0" collapsed="false">
      <c r="A42" s="0" t="n">
        <f aca="false">'Исходные данные'!A42</f>
        <v>0.183041</v>
      </c>
      <c r="B42" s="0" t="n">
        <f aca="false">'Исходные данные'!B42</f>
        <v>22.439</v>
      </c>
      <c r="H42" s="0" t="n">
        <f aca="false">H41+6*$E$47/49</f>
        <v>1.06306926740803</v>
      </c>
      <c r="I42" s="0" t="n">
        <f aca="false">_xlfn.NORM.DIST(H42,$E$46,$E$47,0)</f>
        <v>0.23337458652372</v>
      </c>
      <c r="J42" s="0" t="n">
        <f aca="false">_xlfn.NORM.DIST(H42,$E$46,$E$47,1)</f>
        <v>0.971149270494171</v>
      </c>
    </row>
    <row r="43" customFormat="false" ht="12.8" hidden="false" customHeight="false" outlineLevel="0" collapsed="false">
      <c r="A43" s="0" t="n">
        <f aca="false">'Исходные данные'!A43</f>
        <v>0.688096</v>
      </c>
      <c r="B43" s="0" t="n">
        <f aca="false">'Исходные данные'!B43</f>
        <v>23.1271</v>
      </c>
      <c r="H43" s="0" t="n">
        <f aca="false">H42+6*$E$47/49</f>
        <v>1.09763081885371</v>
      </c>
      <c r="I43" s="0" t="n">
        <f aca="false">_xlfn.NORM.DIST(H43,$E$46,$E$47,0)</f>
        <v>0.183597302990851</v>
      </c>
      <c r="J43" s="0" t="n">
        <f aca="false">_xlfn.NORM.DIST(H43,$E$46,$E$47,1)</f>
        <v>0.97832946631424</v>
      </c>
    </row>
    <row r="44" customFormat="false" ht="12.8" hidden="false" customHeight="false" outlineLevel="0" collapsed="false">
      <c r="A44" s="0" t="n">
        <f aca="false">'Исходные данные'!A44</f>
        <v>0.0572111</v>
      </c>
      <c r="B44" s="0" t="n">
        <f aca="false">'Исходные данные'!B44</f>
        <v>23.1843</v>
      </c>
      <c r="H44" s="0" t="n">
        <f aca="false">H43+6*$E$47/49</f>
        <v>1.13219237029939</v>
      </c>
      <c r="I44" s="0" t="n">
        <f aca="false">_xlfn.NORM.DIST(H44,$E$46,$E$47,0)</f>
        <v>0.142287690036815</v>
      </c>
      <c r="J44" s="0" t="n">
        <f aca="false">_xlfn.NORM.DIST(H44,$E$46,$E$47,1)</f>
        <v>0.983937714396172</v>
      </c>
    </row>
    <row r="45" customFormat="false" ht="12.8" hidden="false" customHeight="false" outlineLevel="0" collapsed="false">
      <c r="A45" s="0" t="n">
        <f aca="false">'Исходные данные'!A45</f>
        <v>0.775714</v>
      </c>
      <c r="B45" s="0" t="n">
        <f aca="false">'Исходные данные'!B45</f>
        <v>23.96</v>
      </c>
      <c r="H45" s="0" t="n">
        <f aca="false">H44+6*$E$47/49</f>
        <v>1.16675392174507</v>
      </c>
      <c r="I45" s="0" t="n">
        <f aca="false">_xlfn.NORM.DIST(H45,$E$46,$E$47,0)</f>
        <v>0.108631720162353</v>
      </c>
      <c r="J45" s="0" t="n">
        <f aca="false">_xlfn.NORM.DIST(H45,$E$46,$E$47,1)</f>
        <v>0.988253049699201</v>
      </c>
    </row>
    <row r="46" customFormat="false" ht="17.35" hidden="false" customHeight="false" outlineLevel="0" collapsed="false">
      <c r="A46" s="0" t="n">
        <f aca="false">'Исходные данные'!A46</f>
        <v>0.701783</v>
      </c>
      <c r="B46" s="0" t="n">
        <f aca="false">'Исходные данные'!B46</f>
        <v>24.6618</v>
      </c>
      <c r="D46" s="3" t="s">
        <v>9</v>
      </c>
      <c r="E46" s="8" t="n">
        <f aca="false">AVERAGE(A2:A51)</f>
        <v>0.52736522</v>
      </c>
      <c r="H46" s="0" t="n">
        <f aca="false">H45+6*$E$47/49</f>
        <v>1.20131547319075</v>
      </c>
      <c r="I46" s="0" t="n">
        <f aca="false">_xlfn.NORM.DIST(H46,$E$46,$E$47,0)</f>
        <v>0.0817022995649564</v>
      </c>
      <c r="J46" s="0" t="n">
        <f aca="false">_xlfn.NORM.DIST(H46,$E$46,$E$47,1)</f>
        <v>0.991524183243063</v>
      </c>
    </row>
    <row r="47" customFormat="false" ht="17.35" hidden="false" customHeight="false" outlineLevel="0" collapsed="false">
      <c r="A47" s="0" t="n">
        <f aca="false">'Исходные данные'!A47</f>
        <v>0.159357</v>
      </c>
      <c r="B47" s="0" t="n">
        <f aca="false">'Исходные данные'!B47</f>
        <v>24.8212</v>
      </c>
      <c r="D47" s="3" t="s">
        <v>10</v>
      </c>
      <c r="E47" s="8" t="n">
        <f aca="false">STDEV(A2:A51)</f>
        <v>0.282252670139714</v>
      </c>
      <c r="H47" s="0" t="n">
        <f aca="false">H46+6*$E$47/49</f>
        <v>1.23587702463643</v>
      </c>
      <c r="I47" s="0" t="n">
        <f aca="false">_xlfn.NORM.DIST(H47,$E$46,$E$47,0)</f>
        <v>0.0605341153297173</v>
      </c>
      <c r="J47" s="0" t="n">
        <f aca="false">_xlfn.NORM.DIST(H47,$E$46,$E$47,1)</f>
        <v>0.993966929734436</v>
      </c>
    </row>
    <row r="48" customFormat="false" ht="12.8" hidden="false" customHeight="false" outlineLevel="0" collapsed="false">
      <c r="A48" s="0" t="n">
        <f aca="false">'Исходные данные'!A48</f>
        <v>0.0995737</v>
      </c>
      <c r="B48" s="0" t="n">
        <f aca="false">'Исходные данные'!B48</f>
        <v>24.9208</v>
      </c>
      <c r="H48" s="0" t="n">
        <f aca="false">H47+6*$E$47/49</f>
        <v>1.27043857608211</v>
      </c>
      <c r="I48" s="0" t="n">
        <f aca="false">_xlfn.NORM.DIST(H48,$E$46,$E$47,0)</f>
        <v>0.0441829200941365</v>
      </c>
      <c r="J48" s="0" t="n">
        <f aca="false">_xlfn.NORM.DIST(H48,$E$46,$E$47,1)</f>
        <v>0.995763958022001</v>
      </c>
    </row>
    <row r="49" customFormat="false" ht="12.8" hidden="false" customHeight="false" outlineLevel="0" collapsed="false">
      <c r="A49" s="0" t="n">
        <f aca="false">'Исходные данные'!A49</f>
        <v>0.560905</v>
      </c>
      <c r="B49" s="0" t="n">
        <f aca="false">'Исходные данные'!B49</f>
        <v>25.4817</v>
      </c>
      <c r="H49" s="0" t="n">
        <f aca="false">H48+6*$E$47/49</f>
        <v>1.30500012752779</v>
      </c>
      <c r="I49" s="0" t="n">
        <f aca="false">_xlfn.NORM.DIST(H49,$E$46,$E$47,0)</f>
        <v>0.0317685159195789</v>
      </c>
      <c r="J49" s="0" t="n">
        <f aca="false">_xlfn.NORM.DIST(H49,$E$46,$E$47,1)</f>
        <v>0.997066308329491</v>
      </c>
    </row>
    <row r="50" customFormat="false" ht="12.8" hidden="false" customHeight="false" outlineLevel="0" collapsed="false">
      <c r="A50" s="0" t="n">
        <f aca="false">'Исходные данные'!A50</f>
        <v>0.347255</v>
      </c>
      <c r="B50" s="0" t="n">
        <f aca="false">'Исходные данные'!B50</f>
        <v>25.8289</v>
      </c>
      <c r="H50" s="0" t="n">
        <f aca="false">H49+6*$E$47/49</f>
        <v>1.33956167897346</v>
      </c>
      <c r="I50" s="0" t="n">
        <f aca="false">_xlfn.NORM.DIST(H50,$E$46,$E$47,0)</f>
        <v>0.0225023427059502</v>
      </c>
      <c r="J50" s="0" t="n">
        <f aca="false">_xlfn.NORM.DIST(H50,$E$46,$E$47,1)</f>
        <v>0.997996124520689</v>
      </c>
    </row>
    <row r="51" customFormat="false" ht="17.35" hidden="false" customHeight="false" outlineLevel="0" collapsed="false">
      <c r="A51" s="0" t="n">
        <f aca="false">'Исходные данные'!A51</f>
        <v>0.539348</v>
      </c>
      <c r="B51" s="0" t="n">
        <f aca="false">'Исходные данные'!B51</f>
        <v>26.3683</v>
      </c>
      <c r="F51" s="1" t="s">
        <v>11</v>
      </c>
      <c r="G51" s="0" t="n">
        <f aca="false">(E46+3*E47)</f>
        <v>1.37412323041914</v>
      </c>
      <c r="H51" s="0" t="n">
        <f aca="false">H50+6*$E$47/49</f>
        <v>1.37412323041914</v>
      </c>
      <c r="I51" s="0" t="n">
        <f aca="false">_xlfn.NORM.DIST(H51,$E$46,$E$47,0)</f>
        <v>0.0157017058855252</v>
      </c>
      <c r="J51" s="0" t="n">
        <f aca="false">_xlfn.NORM.DIST(H51,$E$46,$E$47,1)</f>
        <v>0.99865010196837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76" colorId="64" zoomScale="120" zoomScaleNormal="120" zoomScalePageLayoutView="100" workbookViewId="0">
      <selection pane="topLeft" activeCell="E98" activeCellId="0" sqref="E98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7.85"/>
    <col collapsed="false" customWidth="true" hidden="false" outlineLevel="0" max="7" min="7" style="0" width="17.85"/>
    <col collapsed="false" customWidth="true" hidden="false" outlineLevel="0" max="8" min="8" style="0" width="21.68"/>
    <col collapsed="false" customWidth="true" hidden="false" outlineLevel="0" max="9" min="9" style="0" width="36.58"/>
    <col collapsed="false" customWidth="true" hidden="false" outlineLevel="0" max="10" min="10" style="0" width="32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F1" s="2"/>
      <c r="H1" s="1" t="s">
        <v>5</v>
      </c>
      <c r="I1" s="1" t="s">
        <v>6</v>
      </c>
      <c r="J1" s="1" t="s">
        <v>7</v>
      </c>
    </row>
    <row r="2" customFormat="false" ht="17.35" hidden="false" customHeight="false" outlineLevel="0" collapsed="false">
      <c r="A2" s="0" t="n">
        <f aca="false">'Исходные данные'!A2</f>
        <v>0.59931</v>
      </c>
      <c r="B2" s="0" t="n">
        <f aca="false">'Исходные данные'!B2</f>
        <v>0.59931</v>
      </c>
      <c r="F2" s="1" t="s">
        <v>8</v>
      </c>
      <c r="G2" s="0" t="n">
        <f aca="false">(E96-3*E97)</f>
        <v>-0.370151332589936</v>
      </c>
      <c r="H2" s="0" t="n">
        <f aca="false">(E96-3*E97)</f>
        <v>-0.370151332589936</v>
      </c>
      <c r="I2" s="0" t="n">
        <f aca="false">_xlfn.NORM.DIST(H2,$E$96,$E$97,0)</f>
        <v>0.0149878987989043</v>
      </c>
      <c r="J2" s="0" t="n">
        <f aca="false">_xlfn.NORM.DIST(H2,$E$96,$E$97,1)</f>
        <v>0.00134989803163009</v>
      </c>
    </row>
    <row r="3" customFormat="false" ht="12.8" hidden="false" customHeight="false" outlineLevel="0" collapsed="false">
      <c r="A3" s="0" t="n">
        <f aca="false">'Исходные данные'!A3</f>
        <v>0.52672</v>
      </c>
      <c r="B3" s="0" t="n">
        <f aca="false">'Исходные данные'!B3</f>
        <v>1.12603</v>
      </c>
      <c r="H3" s="0" t="n">
        <f aca="false">H2+6*$E$97/99</f>
        <v>-0.352230416719432</v>
      </c>
      <c r="I3" s="0" t="n">
        <f aca="false">_xlfn.NORM.DIST(H3,$E$96,$E$97,0)</f>
        <v>0.0179434431359158</v>
      </c>
      <c r="J3" s="0" t="n">
        <f aca="false">_xlfn.NORM.DIST(H3,$E$96,$E$97,1)</f>
        <v>0.00164427400076629</v>
      </c>
    </row>
    <row r="4" customFormat="false" ht="12.8" hidden="false" customHeight="false" outlineLevel="0" collapsed="false">
      <c r="A4" s="0" t="n">
        <f aca="false">'Исходные данные'!A4</f>
        <v>0.39169</v>
      </c>
      <c r="B4" s="0" t="n">
        <f aca="false">'Исходные данные'!B4</f>
        <v>1.51772</v>
      </c>
      <c r="H4" s="0" t="n">
        <f aca="false">H3+6*$E$97/99</f>
        <v>-0.334309500848929</v>
      </c>
      <c r="I4" s="0" t="n">
        <f aca="false">_xlfn.NORM.DIST(H4,$E$96,$E$97,0)</f>
        <v>0.0214030471748491</v>
      </c>
      <c r="J4" s="0" t="n">
        <f aca="false">_xlfn.NORM.DIST(H4,$E$96,$E$97,1)</f>
        <v>0.00199603372855825</v>
      </c>
    </row>
    <row r="5" customFormat="false" ht="12.8" hidden="false" customHeight="false" outlineLevel="0" collapsed="false">
      <c r="A5" s="0" t="n">
        <f aca="false">'Исходные данные'!A5</f>
        <v>0.996682</v>
      </c>
      <c r="B5" s="0" t="n">
        <f aca="false">'Исходные данные'!B5</f>
        <v>2.5144</v>
      </c>
      <c r="H5" s="0" t="n">
        <f aca="false">H4+6*$E$97/99</f>
        <v>-0.316388584978425</v>
      </c>
      <c r="I5" s="0" t="n">
        <f aca="false">_xlfn.NORM.DIST(H5,$E$96,$E$97,0)</f>
        <v>0.0254360827993197</v>
      </c>
      <c r="J5" s="0" t="n">
        <f aca="false">_xlfn.NORM.DIST(H5,$E$96,$E$97,1)</f>
        <v>0.00241482262796997</v>
      </c>
    </row>
    <row r="6" customFormat="false" ht="12.8" hidden="false" customHeight="false" outlineLevel="0" collapsed="false">
      <c r="A6" s="0" t="n">
        <f aca="false">'Исходные данные'!A6</f>
        <v>0.574168</v>
      </c>
      <c r="B6" s="0" t="n">
        <f aca="false">'Исходные данные'!B6</f>
        <v>3.08857</v>
      </c>
      <c r="H6" s="0" t="n">
        <f aca="false">H5+6*$E$97/99</f>
        <v>-0.298467669107921</v>
      </c>
      <c r="I6" s="0" t="n">
        <f aca="false">_xlfn.NORM.DIST(H6,$E$96,$E$97,0)</f>
        <v>0.0301182439482897</v>
      </c>
      <c r="J6" s="0" t="n">
        <f aca="false">_xlfn.NORM.DIST(H6,$E$96,$E$97,1)</f>
        <v>0.00291158591190611</v>
      </c>
    </row>
    <row r="7" customFormat="false" ht="12.8" hidden="false" customHeight="false" outlineLevel="0" collapsed="false">
      <c r="A7" s="0" t="n">
        <f aca="false">'Исходные данные'!A7</f>
        <v>0.51831</v>
      </c>
      <c r="B7" s="0" t="n">
        <f aca="false">'Исходные данные'!B7</f>
        <v>3.60688</v>
      </c>
      <c r="H7" s="0" t="n">
        <f aca="false">H6+6*$E$97/99</f>
        <v>-0.280546753237417</v>
      </c>
      <c r="I7" s="0" t="n">
        <f aca="false">_xlfn.NORM.DIST(H7,$E$96,$E$97,0)</f>
        <v>0.0355315258880808</v>
      </c>
      <c r="J7" s="0" t="n">
        <f aca="false">_xlfn.NORM.DIST(H7,$E$96,$E$97,1)</f>
        <v>0.00349868188294757</v>
      </c>
    </row>
    <row r="8" customFormat="false" ht="12.8" hidden="false" customHeight="false" outlineLevel="0" collapsed="false">
      <c r="A8" s="0" t="n">
        <f aca="false">'Исходные данные'!A8</f>
        <v>0.530825</v>
      </c>
      <c r="B8" s="0" t="n">
        <f aca="false">'Исходные данные'!B8</f>
        <v>4.13771</v>
      </c>
      <c r="H8" s="0" t="n">
        <f aca="false">H7+6*$E$97/99</f>
        <v>-0.262625837366914</v>
      </c>
      <c r="I8" s="0" t="n">
        <f aca="false">_xlfn.NORM.DIST(H8,$E$96,$E$97,0)</f>
        <v>0.0417640748732761</v>
      </c>
      <c r="J8" s="0" t="n">
        <f aca="false">_xlfn.NORM.DIST(H8,$E$96,$E$97,1)</f>
        <v>0.00418999372050682</v>
      </c>
    </row>
    <row r="9" customFormat="false" ht="12.8" hidden="false" customHeight="false" outlineLevel="0" collapsed="false">
      <c r="A9" s="0" t="n">
        <f aca="false">'Исходные данные'!A9</f>
        <v>0.624686</v>
      </c>
      <c r="B9" s="0" t="n">
        <f aca="false">'Исходные данные'!B9</f>
        <v>4.76239</v>
      </c>
      <c r="H9" s="0" t="n">
        <f aca="false">H8+6*$E$97/99</f>
        <v>-0.24470492149641</v>
      </c>
      <c r="I9" s="0" t="n">
        <f aca="false">_xlfn.NORM.DIST(H9,$E$96,$E$97,0)</f>
        <v>0.0489098879805615</v>
      </c>
      <c r="J9" s="0" t="n">
        <f aca="false">_xlfn.NORM.DIST(H9,$E$96,$E$97,1)</f>
        <v>0.00500103726124804</v>
      </c>
    </row>
    <row r="10" customFormat="false" ht="12.8" hidden="false" customHeight="false" outlineLevel="0" collapsed="false">
      <c r="A10" s="0" t="n">
        <f aca="false">'Исходные данные'!A10</f>
        <v>0.134262</v>
      </c>
      <c r="B10" s="0" t="n">
        <f aca="false">'Исходные данные'!B10</f>
        <v>4.89665</v>
      </c>
      <c r="H10" s="0" t="n">
        <f aca="false">H9+6*$E$97/99</f>
        <v>-0.226784005625906</v>
      </c>
      <c r="I10" s="0" t="n">
        <f aca="false">_xlfn.NORM.DIST(H10,$E$96,$E$97,0)</f>
        <v>0.0570683434037381</v>
      </c>
      <c r="J10" s="0" t="n">
        <f aca="false">_xlfn.NORM.DIST(H10,$E$96,$E$97,1)</f>
        <v>0.00594906190984352</v>
      </c>
    </row>
    <row r="11" customFormat="false" ht="12.8" hidden="false" customHeight="false" outlineLevel="0" collapsed="false">
      <c r="A11" s="0" t="n">
        <f aca="false">'Исходные данные'!A11</f>
        <v>0.311794</v>
      </c>
      <c r="B11" s="0" t="n">
        <f aca="false">'Исходные данные'!B11</f>
        <v>5.20845</v>
      </c>
      <c r="H11" s="0" t="n">
        <f aca="false">H10+6*$E$97/99</f>
        <v>-0.208863089755402</v>
      </c>
      <c r="I11" s="0" t="n">
        <f aca="false">_xlfn.NORM.DIST(H11,$E$96,$E$97,0)</f>
        <v>0.0663435427191498</v>
      </c>
      <c r="J11" s="0" t="n">
        <f aca="false">_xlfn.NORM.DIST(H11,$E$96,$E$97,1)</f>
        <v>0.00705314147368977</v>
      </c>
    </row>
    <row r="12" customFormat="false" ht="12.8" hidden="false" customHeight="false" outlineLevel="0" collapsed="false">
      <c r="A12" s="0" t="n">
        <f aca="false">'Исходные данные'!A12</f>
        <v>0.533984</v>
      </c>
      <c r="B12" s="0" t="n">
        <f aca="false">'Исходные данные'!B12</f>
        <v>5.74243</v>
      </c>
      <c r="H12" s="0" t="n">
        <f aca="false">H11+6*$E$97/99</f>
        <v>-0.190942173884899</v>
      </c>
      <c r="I12" s="0" t="n">
        <f aca="false">_xlfn.NORM.DIST(H12,$E$96,$E$97,0)</f>
        <v>0.0768434486519311</v>
      </c>
      <c r="J12" s="0" t="n">
        <f aca="false">_xlfn.NORM.DIST(H12,$E$96,$E$97,1)</f>
        <v>0.00833425140069568</v>
      </c>
    </row>
    <row r="13" customFormat="false" ht="12.8" hidden="false" customHeight="false" outlineLevel="0" collapsed="false">
      <c r="A13" s="0" t="n">
        <f aca="false">'Исходные данные'!A13</f>
        <v>0.440809</v>
      </c>
      <c r="B13" s="0" t="n">
        <f aca="false">'Исходные данные'!B13</f>
        <v>6.18324</v>
      </c>
      <c r="H13" s="0" t="n">
        <f aca="false">H12+6*$E$97/99</f>
        <v>-0.173021258014395</v>
      </c>
      <c r="I13" s="0" t="n">
        <f aca="false">_xlfn.NORM.DIST(H13,$E$96,$E$97,0)</f>
        <v>0.0886788047610026</v>
      </c>
      <c r="J13" s="0" t="n">
        <f aca="false">_xlfn.NORM.DIST(H13,$E$96,$E$97,1)</f>
        <v>0.00981532862864534</v>
      </c>
    </row>
    <row r="14" customFormat="false" ht="12.8" hidden="false" customHeight="false" outlineLevel="0" collapsed="false">
      <c r="A14" s="0" t="n">
        <f aca="false">'Исходные данные'!A14</f>
        <v>0.063503</v>
      </c>
      <c r="B14" s="0" t="n">
        <f aca="false">'Исходные данные'!B14</f>
        <v>6.24674</v>
      </c>
      <c r="H14" s="0" t="n">
        <f aca="false">H13+6*$E$97/99</f>
        <v>-0.155100342143891</v>
      </c>
      <c r="I14" s="0" t="n">
        <f aca="false">_xlfn.NORM.DIST(H14,$E$96,$E$97,0)</f>
        <v>0.10196182725786</v>
      </c>
      <c r="J14" s="0" t="n">
        <f aca="false">_xlfn.NORM.DIST(H14,$E$96,$E$97,1)</f>
        <v>0.0115213100438809</v>
      </c>
    </row>
    <row r="15" customFormat="false" ht="12.8" hidden="false" customHeight="false" outlineLevel="0" collapsed="false">
      <c r="A15" s="0" t="n">
        <f aca="false">'Исходные данные'!A15</f>
        <v>0.872792</v>
      </c>
      <c r="B15" s="0" t="n">
        <f aca="false">'Исходные данные'!B15</f>
        <v>7.11953</v>
      </c>
      <c r="H15" s="0" t="n">
        <f aca="false">H14+6*$E$97/99</f>
        <v>-0.137179426273387</v>
      </c>
      <c r="I15" s="0" t="n">
        <f aca="false">_xlfn.NORM.DIST(H15,$E$96,$E$97,0)</f>
        <v>0.11680466389548</v>
      </c>
      <c r="J15" s="0" t="n">
        <f aca="false">_xlfn.NORM.DIST(H15,$E$96,$E$97,1)</f>
        <v>0.0134791454126251</v>
      </c>
    </row>
    <row r="16" customFormat="false" ht="12.8" hidden="false" customHeight="false" outlineLevel="0" collapsed="false">
      <c r="A16" s="0" t="n">
        <f aca="false">'Исходные данные'!A16</f>
        <v>0.224759</v>
      </c>
      <c r="B16" s="0" t="n">
        <f aca="false">'Исходные данные'!B16</f>
        <v>7.34429</v>
      </c>
      <c r="H16" s="0" t="n">
        <f aca="false">H15+6*$E$97/99</f>
        <v>-0.119258510402883</v>
      </c>
      <c r="I16" s="0" t="n">
        <f aca="false">_xlfn.NORM.DIST(H16,$E$96,$E$97,0)</f>
        <v>0.133317620489618</v>
      </c>
      <c r="J16" s="0" t="n">
        <f aca="false">_xlfn.NORM.DIST(H16,$E$96,$E$97,1)</f>
        <v>0.0157177806066085</v>
      </c>
    </row>
    <row r="17" customFormat="false" ht="12.8" hidden="false" customHeight="false" outlineLevel="0" collapsed="false">
      <c r="A17" s="0" t="n">
        <f aca="false">'Исходные данные'!A17</f>
        <v>0.202601</v>
      </c>
      <c r="B17" s="0" t="n">
        <f aca="false">'Исходные данные'!B17</f>
        <v>7.54689</v>
      </c>
      <c r="H17" s="0" t="n">
        <f aca="false">H16+6*$E$97/99</f>
        <v>-0.10133759453238</v>
      </c>
      <c r="I17" s="0" t="n">
        <f aca="false">_xlfn.NORM.DIST(H17,$E$96,$E$97,0)</f>
        <v>0.151607162107284</v>
      </c>
      <c r="J17" s="0" t="n">
        <f aca="false">_xlfn.NORM.DIST(H17,$E$96,$E$97,1)</f>
        <v>0.0182681070115406</v>
      </c>
    </row>
    <row r="18" customFormat="false" ht="12.8" hidden="false" customHeight="false" outlineLevel="0" collapsed="false">
      <c r="A18" s="0" t="n">
        <f aca="false">'Исходные данные'!A18</f>
        <v>0.700437</v>
      </c>
      <c r="B18" s="0" t="n">
        <f aca="false">'Исходные данные'!B18</f>
        <v>8.24733</v>
      </c>
      <c r="H18" s="0" t="n">
        <f aca="false">H17+6*$E$97/99</f>
        <v>-0.083416678661876</v>
      </c>
      <c r="I18" s="0" t="n">
        <f aca="false">_xlfn.NORM.DIST(H18,$E$96,$E$97,0)</f>
        <v>0.171773703176005</v>
      </c>
      <c r="J18" s="0" t="n">
        <f aca="false">_xlfn.NORM.DIST(H18,$E$96,$E$97,1)</f>
        <v>0.0211628731966962</v>
      </c>
    </row>
    <row r="19" customFormat="false" ht="12.8" hidden="false" customHeight="false" outlineLevel="0" collapsed="false">
      <c r="A19" s="0" t="n">
        <f aca="false">'Исходные данные'!A19</f>
        <v>0.488813</v>
      </c>
      <c r="B19" s="0" t="n">
        <f aca="false">'Исходные данные'!B19</f>
        <v>8.73615</v>
      </c>
      <c r="H19" s="0" t="n">
        <f aca="false">H18+6*$E$97/99</f>
        <v>-0.0654957627913722</v>
      </c>
      <c r="I19" s="0" t="n">
        <f aca="false">_xlfn.NORM.DIST(H19,$E$96,$E$97,0)</f>
        <v>0.193909208588196</v>
      </c>
      <c r="J19" s="0" t="n">
        <f aca="false">_xlfn.NORM.DIST(H19,$E$96,$E$97,1)</f>
        <v>0.0244365552486342</v>
      </c>
    </row>
    <row r="20" customFormat="false" ht="12.8" hidden="false" customHeight="false" outlineLevel="0" collapsed="false">
      <c r="A20" s="0" t="n">
        <f aca="false">'Исходные данные'!A20</f>
        <v>0.198562</v>
      </c>
      <c r="B20" s="0" t="n">
        <f aca="false">'Исходные данные'!B20</f>
        <v>8.93471</v>
      </c>
      <c r="H20" s="0" t="n">
        <f aca="false">H19+6*$E$97/99</f>
        <v>-0.0475748469208684</v>
      </c>
      <c r="I20" s="0" t="n">
        <f aca="false">_xlfn.NORM.DIST(H20,$E$96,$E$97,0)</f>
        <v>0.21809463610864</v>
      </c>
      <c r="J20" s="0" t="n">
        <f aca="false">_xlfn.NORM.DIST(H20,$E$96,$E$97,1)</f>
        <v>0.0281251826409834</v>
      </c>
    </row>
    <row r="21" customFormat="false" ht="12.8" hidden="false" customHeight="false" outlineLevel="0" collapsed="false">
      <c r="A21" s="0" t="n">
        <f aca="false">'Исходные данные'!A21</f>
        <v>0.709845</v>
      </c>
      <c r="B21" s="0" t="n">
        <f aca="false">'Исходные данные'!B21</f>
        <v>9.64455</v>
      </c>
      <c r="H21" s="0" t="n">
        <f aca="false">H20+6*$E$97/99</f>
        <v>-0.0296539310503647</v>
      </c>
      <c r="I21" s="0" t="n">
        <f aca="false">_xlfn.NORM.DIST(H21,$E$96,$E$97,0)</f>
        <v>0.244397258808048</v>
      </c>
      <c r="J21" s="0" t="n">
        <f aca="false">_xlfn.NORM.DIST(H21,$E$96,$E$97,1)</f>
        <v>0.0322661171306944</v>
      </c>
    </row>
    <row r="22" customFormat="false" ht="12.8" hidden="false" customHeight="false" outlineLevel="0" collapsed="false">
      <c r="A22" s="0" t="n">
        <f aca="false">'Исходные данные'!A22</f>
        <v>0.817932</v>
      </c>
      <c r="B22" s="0" t="n">
        <f aca="false">'Исходные данные'!B22</f>
        <v>10.4625</v>
      </c>
      <c r="H22" s="0" t="n">
        <f aca="false">H21+6*$E$97/99</f>
        <v>-0.0117330151798609</v>
      </c>
      <c r="I22" s="0" t="n">
        <f aca="false">_xlfn.NORM.DIST(H22,$E$96,$E$97,0)</f>
        <v>0.272867914571619</v>
      </c>
      <c r="J22" s="0" t="n">
        <f aca="false">_xlfn.NORM.DIST(H22,$E$96,$E$97,1)</f>
        <v>0.0368977829400699</v>
      </c>
    </row>
    <row r="23" customFormat="false" ht="12.8" hidden="false" customHeight="false" outlineLevel="0" collapsed="false">
      <c r="A23" s="0" t="n">
        <f aca="false">'Исходные данные'!A23</f>
        <v>0.0212862</v>
      </c>
      <c r="B23" s="0" t="n">
        <f aca="false">'Исходные данные'!B23</f>
        <v>10.4838</v>
      </c>
      <c r="H23" s="0" t="n">
        <f aca="false">H22+6*$E$97/99</f>
        <v>0.00618790069064285</v>
      </c>
      <c r="I23" s="0" t="n">
        <f aca="false">_xlfn.NORM.DIST(H23,$E$96,$E$97,0)</f>
        <v>0.303538237665607</v>
      </c>
      <c r="J23" s="0" t="n">
        <f aca="false">_xlfn.NORM.DIST(H23,$E$96,$E$97,1)</f>
        <v>0.0420593473989568</v>
      </c>
    </row>
    <row r="24" customFormat="false" ht="12.8" hidden="false" customHeight="false" outlineLevel="0" collapsed="false">
      <c r="A24" s="0" t="n">
        <f aca="false">'Исходные данные'!A24</f>
        <v>0.944932</v>
      </c>
      <c r="B24" s="0" t="n">
        <f aca="false">'Исходные данные'!B24</f>
        <v>11.4287</v>
      </c>
      <c r="H24" s="0" t="n">
        <f aca="false">H23+6*$E$97/99</f>
        <v>0.0241088165611466</v>
      </c>
      <c r="I24" s="0" t="n">
        <f aca="false">_xlfn.NORM.DIST(H24,$E$96,$E$97,0)</f>
        <v>0.336417934560694</v>
      </c>
      <c r="J24" s="0" t="n">
        <f aca="false">_xlfn.NORM.DIST(H24,$E$96,$E$97,1)</f>
        <v>0.0477903522728147</v>
      </c>
    </row>
    <row r="25" customFormat="false" ht="12.8" hidden="false" customHeight="false" outlineLevel="0" collapsed="false">
      <c r="A25" s="0" t="n">
        <f aca="false">'Исходные данные'!A25</f>
        <v>0.371683</v>
      </c>
      <c r="B25" s="0" t="n">
        <f aca="false">'Исходные данные'!B25</f>
        <v>11.8004</v>
      </c>
      <c r="H25" s="0" t="n">
        <f aca="false">H24+6*$E$97/99</f>
        <v>0.0420297324316504</v>
      </c>
      <c r="I25" s="0" t="n">
        <f aca="false">_xlfn.NORM.DIST(H25,$E$96,$E$97,0)</f>
        <v>0.37149217236925</v>
      </c>
      <c r="J25" s="0" t="n">
        <f aca="false">_xlfn.NORM.DIST(H25,$E$96,$E$97,1)</f>
        <v>0.0541302971740473</v>
      </c>
    </row>
    <row r="26" customFormat="false" ht="12.8" hidden="false" customHeight="false" outlineLevel="0" collapsed="false">
      <c r="A26" s="0" t="n">
        <f aca="false">'Исходные данные'!A26</f>
        <v>0.878309</v>
      </c>
      <c r="B26" s="0" t="n">
        <f aca="false">'Исходные данные'!B26</f>
        <v>12.6787</v>
      </c>
      <c r="H26" s="0" t="n">
        <f aca="false">H25+6*$E$97/99</f>
        <v>0.0599506483021541</v>
      </c>
      <c r="I26" s="0" t="n">
        <f aca="false">_xlfn.NORM.DIST(H26,$E$96,$E$97,0)</f>
        <v>0.40871915301517</v>
      </c>
      <c r="J26" s="0" t="n">
        <f aca="false">_xlfn.NORM.DIST(H26,$E$96,$E$97,1)</f>
        <v>0.0611181777240059</v>
      </c>
    </row>
    <row r="27" customFormat="false" ht="12.8" hidden="false" customHeight="false" outlineLevel="0" collapsed="false">
      <c r="A27" s="0" t="n">
        <f aca="false">'Исходные данные'!A27</f>
        <v>0.602046</v>
      </c>
      <c r="B27" s="0" t="n">
        <f aca="false">'Исходные данные'!B27</f>
        <v>13.2807</v>
      </c>
      <c r="H27" s="0" t="n">
        <f aca="false">H26+6*$E$97/99</f>
        <v>0.0778715641726579</v>
      </c>
      <c r="I27" s="0" t="n">
        <f aca="false">_xlfn.NORM.DIST(H27,$E$96,$E$97,0)</f>
        <v>0.448027949295266</v>
      </c>
      <c r="J27" s="0" t="n">
        <f aca="false">_xlfn.NORM.DIST(H27,$E$96,$E$97,1)</f>
        <v>0.0687919824734732</v>
      </c>
    </row>
    <row r="28" customFormat="false" ht="12.8" hidden="false" customHeight="false" outlineLevel="0" collapsed="false">
      <c r="A28" s="0" t="n">
        <f aca="false">'Исходные данные'!A28</f>
        <v>0.820565</v>
      </c>
      <c r="B28" s="0" t="n">
        <f aca="false">'Исходные данные'!B28</f>
        <v>14.1013</v>
      </c>
      <c r="H28" s="0" t="n">
        <f aca="false">H27+6*$E$97/99</f>
        <v>0.0957924800431617</v>
      </c>
      <c r="I28" s="0" t="n">
        <f aca="false">_xlfn.NORM.DIST(H28,$E$96,$E$97,0)</f>
        <v>0.489316680015449</v>
      </c>
      <c r="J28" s="0" t="n">
        <f aca="false">_xlfn.NORM.DIST(H28,$E$96,$E$97,1)</f>
        <v>0.0771881539666611</v>
      </c>
    </row>
    <row r="29" customFormat="false" ht="12.8" hidden="false" customHeight="false" outlineLevel="0" collapsed="false">
      <c r="A29" s="0" t="n">
        <f aca="false">'Исходные данные'!A29</f>
        <v>0.101819</v>
      </c>
      <c r="B29" s="0" t="n">
        <f aca="false">'Исходные данные'!B29</f>
        <v>14.2031</v>
      </c>
      <c r="H29" s="0" t="n">
        <f aca="false">H28+6*$E$97/99</f>
        <v>0.113713395913665</v>
      </c>
      <c r="I29" s="0" t="n">
        <f aca="false">_xlfn.NORM.DIST(H29,$E$96,$E$97,0)</f>
        <v>0.532451100144068</v>
      </c>
      <c r="J29" s="0" t="n">
        <f aca="false">_xlfn.NORM.DIST(H29,$E$96,$E$97,1)</f>
        <v>0.0863410207093742</v>
      </c>
    </row>
    <row r="30" customFormat="false" ht="12.8" hidden="false" customHeight="false" outlineLevel="0" collapsed="false">
      <c r="A30" s="0" t="n">
        <f aca="false">'Исходные данные'!A30</f>
        <v>0.820174</v>
      </c>
      <c r="B30" s="0" t="n">
        <f aca="false">'Исходные данные'!B30</f>
        <v>15.0233</v>
      </c>
      <c r="H30" s="0" t="n">
        <f aca="false">H29+6*$E$97/99</f>
        <v>0.131634311784169</v>
      </c>
      <c r="I30" s="0" t="n">
        <f aca="false">_xlfn.NORM.DIST(H30,$E$96,$E$97,0)</f>
        <v>0.577263678230681</v>
      </c>
      <c r="J30" s="0" t="n">
        <f aca="false">_xlfn.NORM.DIST(H30,$E$96,$E$97,1)</f>
        <v>0.0962822081336195</v>
      </c>
    </row>
    <row r="31" customFormat="false" ht="12.8" hidden="false" customHeight="false" outlineLevel="0" collapsed="false">
      <c r="A31" s="0" t="n">
        <f aca="false">'Исходные данные'!A31</f>
        <v>0.286249</v>
      </c>
      <c r="B31" s="0" t="n">
        <f aca="false">'Исходные данные'!B31</f>
        <v>15.3095</v>
      </c>
      <c r="H31" s="0" t="n">
        <f aca="false">H30+6*$E$97/99</f>
        <v>0.149555227654673</v>
      </c>
      <c r="I31" s="0" t="n">
        <f aca="false">_xlfn.NORM.DIST(H31,$E$96,$E$97,0)</f>
        <v>0.623553227078349</v>
      </c>
      <c r="J31" s="0" t="n">
        <f aca="false">_xlfn.NORM.DIST(H31,$E$96,$E$97,1)</f>
        <v>0.107040037893476</v>
      </c>
    </row>
    <row r="32" customFormat="false" ht="12.8" hidden="false" customHeight="false" outlineLevel="0" collapsed="false">
      <c r="A32" s="0" t="n">
        <f aca="false">'Исходные данные'!A32</f>
        <v>0.993986</v>
      </c>
      <c r="B32" s="0" t="n">
        <f aca="false">'Исходные данные'!B32</f>
        <v>16.3035</v>
      </c>
      <c r="H32" s="0" t="n">
        <f aca="false">H31+6*$E$97/99</f>
        <v>0.167476143525177</v>
      </c>
      <c r="I32" s="0" t="n">
        <f aca="false">_xlfn.NORM.DIST(H32,$E$96,$E$97,0)</f>
        <v>0.671085144805554</v>
      </c>
      <c r="J32" s="0" t="n">
        <f aca="false">_xlfn.NORM.DIST(H32,$E$96,$E$97,1)</f>
        <v>0.118638925934139</v>
      </c>
    </row>
    <row r="33" customFormat="false" ht="12.8" hidden="false" customHeight="false" outlineLevel="0" collapsed="false">
      <c r="A33" s="0" t="n">
        <f aca="false">'Исходные данные'!A33</f>
        <v>0.20081</v>
      </c>
      <c r="B33" s="0" t="n">
        <f aca="false">'Исходные данные'!B33</f>
        <v>16.5043</v>
      </c>
      <c r="H33" s="0" t="n">
        <f aca="false">H32+6*$E$97/99</f>
        <v>0.18539705939568</v>
      </c>
      <c r="I33" s="0" t="n">
        <f aca="false">_xlfn.NORM.DIST(H33,$E$96,$E$97,0)</f>
        <v>0.719592312060873</v>
      </c>
      <c r="J33" s="0" t="n">
        <f aca="false">_xlfn.NORM.DIST(H33,$E$96,$E$97,1)</f>
        <v>0.13109879070173</v>
      </c>
    </row>
    <row r="34" customFormat="false" ht="12.8" hidden="false" customHeight="false" outlineLevel="0" collapsed="false">
      <c r="A34" s="0" t="n">
        <f aca="false">'Исходные данные'!A34</f>
        <v>0.722026</v>
      </c>
      <c r="B34" s="0" t="n">
        <f aca="false">'Исходные данные'!B34</f>
        <v>17.2264</v>
      </c>
      <c r="H34" s="0" t="n">
        <f aca="false">H33+6*$E$97/99</f>
        <v>0.203317975266184</v>
      </c>
      <c r="I34" s="0" t="n">
        <f aca="false">_xlfn.NORM.DIST(H34,$E$96,$E$97,0)</f>
        <v>0.768776677432678</v>
      </c>
      <c r="J34" s="0" t="n">
        <f aca="false">_xlfn.NORM.DIST(H34,$E$96,$E$97,1)</f>
        <v>0.144434483561983</v>
      </c>
    </row>
    <row r="35" customFormat="false" ht="12.8" hidden="false" customHeight="false" outlineLevel="0" collapsed="false">
      <c r="A35" s="0" t="n">
        <f aca="false">'Исходные данные'!A35</f>
        <v>0.553061</v>
      </c>
      <c r="B35" s="0" t="n">
        <f aca="false">'Исходные данные'!B35</f>
        <v>17.7794</v>
      </c>
      <c r="H35" s="0" t="n">
        <f aca="false">H34+6*$E$97/99</f>
        <v>0.221238891136688</v>
      </c>
      <c r="I35" s="0" t="n">
        <f aca="false">_xlfn.NORM.DIST(H35,$E$96,$E$97,0)</f>
        <v>0.818311547304159</v>
      </c>
      <c r="J35" s="0" t="n">
        <f aca="false">_xlfn.NORM.DIST(H35,$E$96,$E$97,1)</f>
        <v>0.158655253931457</v>
      </c>
    </row>
    <row r="36" customFormat="false" ht="12.8" hidden="false" customHeight="false" outlineLevel="0" collapsed="false">
      <c r="A36" s="0" t="n">
        <f aca="false">'Исходные данные'!A36</f>
        <v>0.423688</v>
      </c>
      <c r="B36" s="0" t="n">
        <f aca="false">'Исходные данные'!B36</f>
        <v>18.2031</v>
      </c>
      <c r="H36" s="0" t="n">
        <f aca="false">H35+6*$E$97/99</f>
        <v>0.239159807007192</v>
      </c>
      <c r="I36" s="0" t="n">
        <f aca="false">_xlfn.NORM.DIST(H36,$E$96,$E$97,0)</f>
        <v>0.867844578918396</v>
      </c>
      <c r="J36" s="0" t="n">
        <f aca="false">_xlfn.NORM.DIST(H36,$E$96,$E$97,1)</f>
        <v>0.173764261761687</v>
      </c>
    </row>
    <row r="37" customFormat="false" ht="12.8" hidden="false" customHeight="false" outlineLevel="0" collapsed="false">
      <c r="A37" s="0" t="n">
        <f aca="false">'Исходные данные'!A37</f>
        <v>0.935531</v>
      </c>
      <c r="B37" s="0" t="n">
        <f aca="false">'Исходные данные'!B37</f>
        <v>19.1386</v>
      </c>
      <c r="H37" s="0" t="n">
        <f aca="false">H36+6*$E$97/99</f>
        <v>0.257080722877696</v>
      </c>
      <c r="I37" s="0" t="n">
        <f aca="false">_xlfn.NORM.DIST(H37,$E$96,$E$97,0)</f>
        <v>0.917001456709305</v>
      </c>
      <c r="J37" s="0" t="n">
        <f aca="false">_xlfn.NORM.DIST(H37,$E$96,$E$97,1)</f>
        <v>0.189758149828325</v>
      </c>
    </row>
    <row r="38" customFormat="false" ht="12.8" hidden="false" customHeight="false" outlineLevel="0" collapsed="false">
      <c r="A38" s="0" t="n">
        <f aca="false">'Исходные данные'!A38</f>
        <v>0.722042</v>
      </c>
      <c r="B38" s="0" t="n">
        <f aca="false">'Исходные данные'!B38</f>
        <v>19.8607</v>
      </c>
      <c r="H38" s="0" t="n">
        <f aca="false">H37+6*$E$97/99</f>
        <v>0.275001638748199</v>
      </c>
      <c r="I38" s="0" t="n">
        <f aca="false">_xlfn.NORM.DIST(H38,$E$96,$E$97,0)</f>
        <v>0.965390212572612</v>
      </c>
      <c r="J38" s="0" t="n">
        <f aca="false">_xlfn.NORM.DIST(H38,$E$96,$E$97,1)</f>
        <v>0.20662668774682</v>
      </c>
    </row>
    <row r="39" customFormat="false" ht="12.8" hidden="false" customHeight="false" outlineLevel="0" collapsed="false">
      <c r="A39" s="0" t="n">
        <f aca="false">'Исходные данные'!A39</f>
        <v>0.917558</v>
      </c>
      <c r="B39" s="0" t="n">
        <f aca="false">'Исходные данные'!B39</f>
        <v>20.7782</v>
      </c>
      <c r="H39" s="0" t="n">
        <f aca="false">H38+6*$E$97/99</f>
        <v>0.292922554618703</v>
      </c>
      <c r="I39" s="0" t="n">
        <f aca="false">_xlfn.NORM.DIST(H39,$E$96,$E$97,0)</f>
        <v>1.01260613130971</v>
      </c>
      <c r="J39" s="0" t="n">
        <f aca="false">_xlfn.NORM.DIST(H39,$E$96,$E$97,1)</f>
        <v>0.224352498756818</v>
      </c>
    </row>
    <row r="40" customFormat="false" ht="12.8" hidden="false" customHeight="false" outlineLevel="0" collapsed="false">
      <c r="A40" s="0" t="n">
        <f aca="false">'Исходные данные'!A40</f>
        <v>0.623181</v>
      </c>
      <c r="B40" s="0" t="n">
        <f aca="false">'Исходные данные'!B40</f>
        <v>21.4014</v>
      </c>
      <c r="H40" s="0" t="n">
        <f aca="false">H39+6*$E$97/99</f>
        <v>0.310843470489207</v>
      </c>
      <c r="I40" s="0" t="n">
        <f aca="false">_xlfn.NORM.DIST(H40,$E$96,$E$97,0)</f>
        <v>1.05823716363146</v>
      </c>
      <c r="J40" s="0" t="n">
        <f aca="false">_xlfn.NORM.DIST(H40,$E$96,$E$97,1)</f>
        <v>0.242910879094044</v>
      </c>
    </row>
    <row r="41" customFormat="false" ht="12.8" hidden="false" customHeight="false" outlineLevel="0" collapsed="false">
      <c r="A41" s="0" t="n">
        <f aca="false">'Исходные данные'!A41</f>
        <v>0.854547</v>
      </c>
      <c r="B41" s="0" t="n">
        <f aca="false">'Исходные данные'!B41</f>
        <v>22.256</v>
      </c>
      <c r="H41" s="0" t="n">
        <f aca="false">H40+6*$E$97/99</f>
        <v>0.328764386359711</v>
      </c>
      <c r="I41" s="0" t="n">
        <f aca="false">_xlfn.NORM.DIST(H41,$E$96,$E$97,0)</f>
        <v>1.10186975153077</v>
      </c>
      <c r="J41" s="0" t="n">
        <f aca="false">_xlfn.NORM.DIST(H41,$E$96,$E$97,1)</f>
        <v>0.262269718217657</v>
      </c>
    </row>
    <row r="42" customFormat="false" ht="12.8" hidden="false" customHeight="false" outlineLevel="0" collapsed="false">
      <c r="A42" s="0" t="n">
        <f aca="false">'Исходные данные'!A42</f>
        <v>0.183041</v>
      </c>
      <c r="B42" s="0" t="n">
        <f aca="false">'Исходные данные'!B42</f>
        <v>22.439</v>
      </c>
      <c r="H42" s="0" t="n">
        <f aca="false">H41+6*$E$97/99</f>
        <v>0.346685302230214</v>
      </c>
      <c r="I42" s="0" t="n">
        <f aca="false">_xlfn.NORM.DIST(H42,$E$96,$E$97,0)</f>
        <v>1.14309495518432</v>
      </c>
      <c r="J42" s="0" t="n">
        <f aca="false">_xlfn.NORM.DIST(H42,$E$96,$E$97,1)</f>
        <v>0.282389526311524</v>
      </c>
    </row>
    <row r="43" customFormat="false" ht="12.8" hidden="false" customHeight="false" outlineLevel="0" collapsed="false">
      <c r="A43" s="0" t="n">
        <f aca="false">'Исходные данные'!A43</f>
        <v>0.688096</v>
      </c>
      <c r="B43" s="0" t="n">
        <f aca="false">'Исходные данные'!B43</f>
        <v>23.1271</v>
      </c>
      <c r="H43" s="0" t="n">
        <f aca="false">H42+6*$E$97/99</f>
        <v>0.364606218100718</v>
      </c>
      <c r="I43" s="0" t="n">
        <f aca="false">_xlfn.NORM.DIST(H43,$E$96,$E$97,0)</f>
        <v>1.18151475745109</v>
      </c>
      <c r="J43" s="0" t="n">
        <f aca="false">_xlfn.NORM.DIST(H43,$E$96,$E$97,1)</f>
        <v>0.303223573370011</v>
      </c>
    </row>
    <row r="44" customFormat="false" ht="12.8" hidden="false" customHeight="false" outlineLevel="0" collapsed="false">
      <c r="A44" s="0" t="n">
        <f aca="false">'Исходные данные'!A44</f>
        <v>0.0572111</v>
      </c>
      <c r="B44" s="0" t="n">
        <f aca="false">'Исходные данные'!B44</f>
        <v>23.1843</v>
      </c>
      <c r="H44" s="0" t="n">
        <f aca="false">H43+6*$E$97/99</f>
        <v>0.382527133971222</v>
      </c>
      <c r="I44" s="0" t="n">
        <f aca="false">_xlfn.NORM.DIST(H44,$E$96,$E$97,0)</f>
        <v>1.21674841205673</v>
      </c>
      <c r="J44" s="0" t="n">
        <f aca="false">_xlfn.NORM.DIST(H44,$E$96,$E$97,1)</f>
        <v>0.324718141863377</v>
      </c>
    </row>
    <row r="45" customFormat="false" ht="12.8" hidden="false" customHeight="false" outlineLevel="0" collapsed="false">
      <c r="A45" s="0" t="n">
        <f aca="false">'Исходные данные'!A45</f>
        <v>0.775714</v>
      </c>
      <c r="B45" s="0" t="n">
        <f aca="false">'Исходные данные'!B45</f>
        <v>23.96</v>
      </c>
      <c r="H45" s="0" t="n">
        <f aca="false">H44+6*$E$97/99</f>
        <v>0.400448049841726</v>
      </c>
      <c r="I45" s="0" t="n">
        <f aca="false">_xlfn.NORM.DIST(H45,$E$96,$E$97,0)</f>
        <v>1.24843869515957</v>
      </c>
      <c r="J45" s="0" t="n">
        <f aca="false">_xlfn.NORM.DIST(H45,$E$96,$E$97,1)</f>
        <v>0.346812892515208</v>
      </c>
    </row>
    <row r="46" customFormat="false" ht="12.8" hidden="false" customHeight="false" outlineLevel="0" collapsed="false">
      <c r="A46" s="0" t="n">
        <f aca="false">'Исходные данные'!A46</f>
        <v>0.701783</v>
      </c>
      <c r="B46" s="0" t="n">
        <f aca="false">'Исходные данные'!B46</f>
        <v>24.6618</v>
      </c>
      <c r="H46" s="0" t="n">
        <f aca="false">H45+6*$E$97/99</f>
        <v>0.418368965712229</v>
      </c>
      <c r="I46" s="0" t="n">
        <f aca="false">_xlfn.NORM.DIST(H46,$E$96,$E$97,0)</f>
        <v>1.27625791753853</v>
      </c>
      <c r="J46" s="0" t="n">
        <f aca="false">_xlfn.NORM.DIST(H46,$E$96,$E$97,1)</f>
        <v>0.369441340181764</v>
      </c>
    </row>
    <row r="47" customFormat="false" ht="12.8" hidden="false" customHeight="false" outlineLevel="0" collapsed="false">
      <c r="A47" s="0" t="n">
        <f aca="false">'Исходные данные'!A47</f>
        <v>0.159357</v>
      </c>
      <c r="B47" s="0" t="n">
        <f aca="false">'Исходные данные'!B47</f>
        <v>24.8212</v>
      </c>
      <c r="H47" s="0" t="n">
        <f aca="false">H46+6*$E$97/99</f>
        <v>0.436289881582733</v>
      </c>
      <c r="I47" s="0" t="n">
        <f aca="false">_xlfn.NORM.DIST(H47,$E$96,$E$97,0)</f>
        <v>1.29991355634902</v>
      </c>
      <c r="J47" s="0" t="n">
        <f aca="false">_xlfn.NORM.DIST(H47,$E$96,$E$97,1)</f>
        <v>0.39253143427378</v>
      </c>
    </row>
    <row r="48" customFormat="false" ht="12.8" hidden="false" customHeight="false" outlineLevel="0" collapsed="false">
      <c r="A48" s="0" t="n">
        <f aca="false">'Исходные данные'!A48</f>
        <v>0.0995737</v>
      </c>
      <c r="B48" s="0" t="n">
        <f aca="false">'Исходные данные'!B48</f>
        <v>24.9208</v>
      </c>
      <c r="H48" s="0" t="n">
        <f aca="false">H47+6*$E$97/99</f>
        <v>0.454210797453237</v>
      </c>
      <c r="I48" s="0" t="n">
        <f aca="false">_xlfn.NORM.DIST(H48,$E$96,$E$97,0)</f>
        <v>1.31915337133337</v>
      </c>
      <c r="J48" s="0" t="n">
        <f aca="false">_xlfn.NORM.DIST(H48,$E$96,$E$97,1)</f>
        <v>0.41600623568032</v>
      </c>
    </row>
    <row r="49" customFormat="false" ht="12.8" hidden="false" customHeight="false" outlineLevel="0" collapsed="false">
      <c r="A49" s="0" t="n">
        <f aca="false">'Исходные данные'!A49</f>
        <v>0.560905</v>
      </c>
      <c r="B49" s="0" t="n">
        <f aca="false">'Исходные данные'!B49</f>
        <v>25.4817</v>
      </c>
      <c r="H49" s="0" t="n">
        <f aca="false">H48+6*$E$97/99</f>
        <v>0.472131713323741</v>
      </c>
      <c r="I49" s="0" t="n">
        <f aca="false">_xlfn.NORM.DIST(H49,$E$96,$E$97,0)</f>
        <v>1.33376988046806</v>
      </c>
      <c r="J49" s="0" t="n">
        <f aca="false">_xlfn.NORM.DIST(H49,$E$96,$E$97,1)</f>
        <v>0.439784679817334</v>
      </c>
    </row>
    <row r="50" customFormat="false" ht="12.8" hidden="false" customHeight="false" outlineLevel="0" collapsed="false">
      <c r="A50" s="0" t="n">
        <f aca="false">'Исходные данные'!A50</f>
        <v>0.347255</v>
      </c>
      <c r="B50" s="0" t="n">
        <f aca="false">'Исходные данные'!B50</f>
        <v>25.8289</v>
      </c>
      <c r="H50" s="0" t="n">
        <f aca="false">H49+6*$E$97/99</f>
        <v>0.490052629194244</v>
      </c>
      <c r="I50" s="0" t="n">
        <f aca="false">_xlfn.NORM.DIST(H50,$E$96,$E$97,0)</f>
        <v>1.34360408404518</v>
      </c>
      <c r="J50" s="0" t="n">
        <f aca="false">_xlfn.NORM.DIST(H50,$E$96,$E$97,1)</f>
        <v>0.463782413303106</v>
      </c>
    </row>
    <row r="51" customFormat="false" ht="12.8" hidden="false" customHeight="false" outlineLevel="0" collapsed="false">
      <c r="A51" s="0" t="n">
        <f aca="false">'Исходные данные'!A51</f>
        <v>0.539348</v>
      </c>
      <c r="B51" s="0" t="n">
        <f aca="false">'Исходные данные'!B51</f>
        <v>26.3683</v>
      </c>
      <c r="H51" s="0" t="n">
        <f aca="false">H50+6*$E$97/99</f>
        <v>0.507973545064748</v>
      </c>
      <c r="I51" s="0" t="n">
        <f aca="false">_xlfn.NORM.DIST(H51,$E$96,$E$97,0)</f>
        <v>1.34854834373479</v>
      </c>
      <c r="J51" s="0" t="n">
        <f aca="false">_xlfn.NORM.DIST(H51,$E$96,$E$97,1)</f>
        <v>0.487912689925855</v>
      </c>
    </row>
    <row r="52" customFormat="false" ht="12.8" hidden="false" customHeight="false" outlineLevel="0" collapsed="false">
      <c r="A52" s="0" t="n">
        <f aca="false">'Исходные данные'!A52</f>
        <v>0.801053</v>
      </c>
      <c r="B52" s="0" t="n">
        <f aca="false">'Исходные данные'!B52</f>
        <v>27.1693</v>
      </c>
      <c r="H52" s="0" t="n">
        <f aca="false">H51+6*$E$97/99</f>
        <v>0.525894460935252</v>
      </c>
      <c r="I52" s="0" t="n">
        <f aca="false">_xlfn.NORM.DIST(H52,$E$96,$E$97,0)</f>
        <v>1.34854834373479</v>
      </c>
      <c r="J52" s="0" t="n">
        <f aca="false">_xlfn.NORM.DIST(H52,$E$96,$E$97,1)</f>
        <v>0.512087310074145</v>
      </c>
    </row>
    <row r="53" customFormat="false" ht="12.8" hidden="false" customHeight="false" outlineLevel="0" collapsed="false">
      <c r="A53" s="0" t="n">
        <f aca="false">'Исходные данные'!A53</f>
        <v>0.861269</v>
      </c>
      <c r="B53" s="0" t="n">
        <f aca="false">'Исходные данные'!B53</f>
        <v>28.0306</v>
      </c>
      <c r="H53" s="0" t="n">
        <f aca="false">H52+6*$E$97/99</f>
        <v>0.543815376805756</v>
      </c>
      <c r="I53" s="0" t="n">
        <f aca="false">_xlfn.NORM.DIST(H53,$E$96,$E$97,0)</f>
        <v>1.34360408404518</v>
      </c>
      <c r="J53" s="0" t="n">
        <f aca="false">_xlfn.NORM.DIST(H53,$E$96,$E$97,1)</f>
        <v>0.536217586696895</v>
      </c>
    </row>
    <row r="54" customFormat="false" ht="12.8" hidden="false" customHeight="false" outlineLevel="0" collapsed="false">
      <c r="A54" s="0" t="n">
        <f aca="false">'Исходные данные'!A54</f>
        <v>0.63994</v>
      </c>
      <c r="B54" s="0" t="n">
        <f aca="false">'Исходные данные'!B54</f>
        <v>28.6705</v>
      </c>
      <c r="H54" s="0" t="n">
        <f aca="false">H53+6*$E$97/99</f>
        <v>0.56173629267626</v>
      </c>
      <c r="I54" s="0" t="n">
        <f aca="false">_xlfn.NORM.DIST(H54,$E$96,$E$97,0)</f>
        <v>1.33376988046806</v>
      </c>
      <c r="J54" s="0" t="n">
        <f aca="false">_xlfn.NORM.DIST(H54,$E$96,$E$97,1)</f>
        <v>0.560215320182666</v>
      </c>
    </row>
    <row r="55" customFormat="false" ht="12.8" hidden="false" customHeight="false" outlineLevel="0" collapsed="false">
      <c r="A55" s="0" t="n">
        <f aca="false">'Исходные данные'!A55</f>
        <v>0.81064</v>
      </c>
      <c r="B55" s="0" t="n">
        <f aca="false">'Исходные данные'!B55</f>
        <v>29.4812</v>
      </c>
      <c r="H55" s="0" t="n">
        <f aca="false">H54+6*$E$97/99</f>
        <v>0.579657208546764</v>
      </c>
      <c r="I55" s="0" t="n">
        <f aca="false">_xlfn.NORM.DIST(H55,$E$96,$E$97,0)</f>
        <v>1.31915337133337</v>
      </c>
      <c r="J55" s="0" t="n">
        <f aca="false">_xlfn.NORM.DIST(H55,$E$96,$E$97,1)</f>
        <v>0.58399376431968</v>
      </c>
    </row>
    <row r="56" customFormat="false" ht="12.8" hidden="false" customHeight="false" outlineLevel="0" collapsed="false">
      <c r="A56" s="0" t="n">
        <f aca="false">'Исходные данные'!A56</f>
        <v>0.38527</v>
      </c>
      <c r="B56" s="0" t="n">
        <f aca="false">'Исходные данные'!B56</f>
        <v>29.8664</v>
      </c>
      <c r="H56" s="0" t="n">
        <f aca="false">H55+6*$E$97/99</f>
        <v>0.597578124417267</v>
      </c>
      <c r="I56" s="0" t="n">
        <f aca="false">_xlfn.NORM.DIST(H56,$E$96,$E$97,0)</f>
        <v>1.29991355634902</v>
      </c>
      <c r="J56" s="0" t="n">
        <f aca="false">_xlfn.NORM.DIST(H56,$E$96,$E$97,1)</f>
        <v>0.607468565726221</v>
      </c>
    </row>
    <row r="57" customFormat="false" ht="12.8" hidden="false" customHeight="false" outlineLevel="0" collapsed="false">
      <c r="A57" s="0" t="n">
        <f aca="false">'Исходные данные'!A57</f>
        <v>0.738261</v>
      </c>
      <c r="B57" s="0" t="n">
        <f aca="false">'Исходные данные'!B57</f>
        <v>30.6047</v>
      </c>
      <c r="H57" s="0" t="n">
        <f aca="false">H56+6*$E$97/99</f>
        <v>0.615499040287771</v>
      </c>
      <c r="I57" s="0" t="n">
        <f aca="false">_xlfn.NORM.DIST(H57,$E$96,$E$97,0)</f>
        <v>1.27625791753853</v>
      </c>
      <c r="J57" s="0" t="n">
        <f aca="false">_xlfn.NORM.DIST(H57,$E$96,$E$97,1)</f>
        <v>0.630558659818237</v>
      </c>
    </row>
    <row r="58" customFormat="false" ht="12.8" hidden="false" customHeight="false" outlineLevel="0" collapsed="false">
      <c r="A58" s="0" t="n">
        <f aca="false">'Исходные данные'!A58</f>
        <v>0.321726</v>
      </c>
      <c r="B58" s="0" t="n">
        <f aca="false">'Исходные данные'!B58</f>
        <v>30.9264</v>
      </c>
      <c r="H58" s="0" t="n">
        <f aca="false">H57+6*$E$97/99</f>
        <v>0.633419956158275</v>
      </c>
      <c r="I58" s="0" t="n">
        <f aca="false">_xlfn.NORM.DIST(H58,$E$96,$E$97,0)</f>
        <v>1.24843869515957</v>
      </c>
      <c r="J58" s="0" t="n">
        <f aca="false">_xlfn.NORM.DIST(H58,$E$96,$E$97,1)</f>
        <v>0.653187107484793</v>
      </c>
    </row>
    <row r="59" customFormat="false" ht="12.8" hidden="false" customHeight="false" outlineLevel="0" collapsed="false">
      <c r="A59" s="0" t="n">
        <f aca="false">'Исходные данные'!A59</f>
        <v>0.754328</v>
      </c>
      <c r="B59" s="0" t="n">
        <f aca="false">'Исходные данные'!B59</f>
        <v>31.6807</v>
      </c>
      <c r="H59" s="0" t="n">
        <f aca="false">H58+6*$E$97/99</f>
        <v>0.651340872028779</v>
      </c>
      <c r="I59" s="0" t="n">
        <f aca="false">_xlfn.NORM.DIST(H59,$E$96,$E$97,0)</f>
        <v>1.21674841205673</v>
      </c>
      <c r="J59" s="0" t="n">
        <f aca="false">_xlfn.NORM.DIST(H59,$E$96,$E$97,1)</f>
        <v>0.675281858136623</v>
      </c>
    </row>
    <row r="60" customFormat="false" ht="12.8" hidden="false" customHeight="false" outlineLevel="0" collapsed="false">
      <c r="A60" s="0" t="n">
        <f aca="false">'Исходные данные'!A60</f>
        <v>0.989224</v>
      </c>
      <c r="B60" s="0" t="n">
        <f aca="false">'Исходные данные'!B60</f>
        <v>32.67</v>
      </c>
      <c r="H60" s="0" t="n">
        <f aca="false">H59+6*$E$97/99</f>
        <v>0.669261787899283</v>
      </c>
      <c r="I60" s="0" t="n">
        <f aca="false">_xlfn.NORM.DIST(H60,$E$96,$E$97,0)</f>
        <v>1.18151475745109</v>
      </c>
      <c r="J60" s="0" t="n">
        <f aca="false">_xlfn.NORM.DIST(H60,$E$96,$E$97,1)</f>
        <v>0.69677642662999</v>
      </c>
    </row>
    <row r="61" customFormat="false" ht="12.8" hidden="false" customHeight="false" outlineLevel="0" collapsed="false">
      <c r="A61" s="0" t="n">
        <f aca="false">'Исходные данные'!A61</f>
        <v>0.801059</v>
      </c>
      <c r="B61" s="0" t="n">
        <f aca="false">'Исходные данные'!B61</f>
        <v>33.471</v>
      </c>
      <c r="H61" s="0" t="n">
        <f aca="false">H60+6*$E$97/99</f>
        <v>0.687182703769786</v>
      </c>
      <c r="I61" s="0" t="n">
        <f aca="false">_xlfn.NORM.DIST(H61,$E$96,$E$97,0)</f>
        <v>1.14309495518432</v>
      </c>
      <c r="J61" s="0" t="n">
        <f aca="false">_xlfn.NORM.DIST(H61,$E$96,$E$97,1)</f>
        <v>0.717610473688477</v>
      </c>
    </row>
    <row r="62" customFormat="false" ht="12.8" hidden="false" customHeight="false" outlineLevel="0" collapsed="false">
      <c r="A62" s="0" t="n">
        <f aca="false">'Исходные данные'!A62</f>
        <v>0.826419</v>
      </c>
      <c r="B62" s="0" t="n">
        <f aca="false">'Исходные данные'!B62</f>
        <v>34.2974</v>
      </c>
      <c r="H62" s="0" t="n">
        <f aca="false">H61+6*$E$97/99</f>
        <v>0.70510361964029</v>
      </c>
      <c r="I62" s="0" t="n">
        <f aca="false">_xlfn.NORM.DIST(H62,$E$96,$E$97,0)</f>
        <v>1.10186975153077</v>
      </c>
      <c r="J62" s="0" t="n">
        <f aca="false">_xlfn.NORM.DIST(H62,$E$96,$E$97,1)</f>
        <v>0.737730281782344</v>
      </c>
    </row>
    <row r="63" customFormat="false" ht="12.8" hidden="false" customHeight="false" outlineLevel="0" collapsed="false">
      <c r="A63" s="0" t="n">
        <f aca="false">'Исходные данные'!A63</f>
        <v>0.673352</v>
      </c>
      <c r="B63" s="0" t="n">
        <f aca="false">'Исходные данные'!B63</f>
        <v>34.9708</v>
      </c>
      <c r="H63" s="0" t="n">
        <f aca="false">H62+6*$E$97/99</f>
        <v>0.723024535510794</v>
      </c>
      <c r="I63" s="0" t="n">
        <f aca="false">_xlfn.NORM.DIST(H63,$E$96,$E$97,0)</f>
        <v>1.05823716363146</v>
      </c>
      <c r="J63" s="0" t="n">
        <f aca="false">_xlfn.NORM.DIST(H63,$E$96,$E$97,1)</f>
        <v>0.757089120905957</v>
      </c>
    </row>
    <row r="64" customFormat="false" ht="12.8" hidden="false" customHeight="false" outlineLevel="0" collapsed="false">
      <c r="A64" s="0" t="n">
        <f aca="false">'Исходные данные'!A64</f>
        <v>0.996031</v>
      </c>
      <c r="B64" s="0" t="n">
        <f aca="false">'Исходные данные'!B64</f>
        <v>35.9668</v>
      </c>
      <c r="H64" s="0" t="n">
        <f aca="false">H63+6*$E$97/99</f>
        <v>0.740945451381298</v>
      </c>
      <c r="I64" s="0" t="n">
        <f aca="false">_xlfn.NORM.DIST(H64,$E$96,$E$97,0)</f>
        <v>1.01260613130971</v>
      </c>
      <c r="J64" s="0" t="n">
        <f aca="false">_xlfn.NORM.DIST(H64,$E$96,$E$97,1)</f>
        <v>0.775647501243183</v>
      </c>
    </row>
    <row r="65" customFormat="false" ht="12.8" hidden="false" customHeight="false" outlineLevel="0" collapsed="false">
      <c r="A65" s="0" t="n">
        <f aca="false">'Исходные данные'!A65</f>
        <v>0.176261</v>
      </c>
      <c r="B65" s="0" t="n">
        <f aca="false">'Исходные данные'!B65</f>
        <v>36.1431</v>
      </c>
      <c r="H65" s="0" t="n">
        <f aca="false">H64+6*$E$97/99</f>
        <v>0.758866367251802</v>
      </c>
      <c r="I65" s="0" t="n">
        <f aca="false">_xlfn.NORM.DIST(H65,$E$96,$E$97,0)</f>
        <v>0.96539021257261</v>
      </c>
      <c r="J65" s="0" t="n">
        <f aca="false">_xlfn.NORM.DIST(H65,$E$96,$E$97,1)</f>
        <v>0.793373312253181</v>
      </c>
    </row>
    <row r="66" customFormat="false" ht="12.8" hidden="false" customHeight="false" outlineLevel="0" collapsed="false">
      <c r="A66" s="0" t="n">
        <f aca="false">'Исходные данные'!A66</f>
        <v>0.193632</v>
      </c>
      <c r="B66" s="0" t="n">
        <f aca="false">'Исходные данные'!B66</f>
        <v>36.3367</v>
      </c>
      <c r="H66" s="0" t="n">
        <f aca="false">H65+6*$E$97/99</f>
        <v>0.776787283122306</v>
      </c>
      <c r="I66" s="0" t="n">
        <f aca="false">_xlfn.NORM.DIST(H66,$E$96,$E$97,0)</f>
        <v>0.917001456709303</v>
      </c>
      <c r="J66" s="0" t="n">
        <f aca="false">_xlfn.NORM.DIST(H66,$E$96,$E$97,1)</f>
        <v>0.810241850171676</v>
      </c>
    </row>
    <row r="67" customFormat="false" ht="12.8" hidden="false" customHeight="false" outlineLevel="0" collapsed="false">
      <c r="A67" s="0" t="n">
        <f aca="false">'Исходные данные'!A67</f>
        <v>0.0213317</v>
      </c>
      <c r="B67" s="0" t="n">
        <f aca="false">'Исходные данные'!B67</f>
        <v>36.3581</v>
      </c>
      <c r="H67" s="0" t="n">
        <f aca="false">H66+6*$E$97/99</f>
        <v>0.794708198992809</v>
      </c>
      <c r="I67" s="0" t="n">
        <f aca="false">_xlfn.NORM.DIST(H67,$E$96,$E$97,0)</f>
        <v>0.867844578918393</v>
      </c>
      <c r="J67" s="0" t="n">
        <f aca="false">_xlfn.NORM.DIST(H67,$E$96,$E$97,1)</f>
        <v>0.826235738238314</v>
      </c>
    </row>
    <row r="68" customFormat="false" ht="12.8" hidden="false" customHeight="false" outlineLevel="0" collapsed="false">
      <c r="A68" s="0" t="n">
        <f aca="false">'Исходные данные'!A68</f>
        <v>0.21521</v>
      </c>
      <c r="B68" s="0" t="n">
        <f aca="false">'Исходные данные'!B68</f>
        <v>36.5733</v>
      </c>
      <c r="H68" s="0" t="n">
        <f aca="false">H67+6*$E$97/99</f>
        <v>0.812629114863313</v>
      </c>
      <c r="I68" s="0" t="n">
        <f aca="false">_xlfn.NORM.DIST(H68,$E$96,$E$97,0)</f>
        <v>0.818311547304157</v>
      </c>
      <c r="J68" s="0" t="n">
        <f aca="false">_xlfn.NORM.DIST(H68,$E$96,$E$97,1)</f>
        <v>0.841344746068544</v>
      </c>
    </row>
    <row r="69" customFormat="false" ht="12.8" hidden="false" customHeight="false" outlineLevel="0" collapsed="false">
      <c r="A69" s="0" t="n">
        <f aca="false">'Исходные данные'!A69</f>
        <v>0.142185</v>
      </c>
      <c r="B69" s="0" t="n">
        <f aca="false">'Исходные данные'!B69</f>
        <v>36.7155</v>
      </c>
      <c r="H69" s="0" t="n">
        <f aca="false">H68+6*$E$97/99</f>
        <v>0.830550030733817</v>
      </c>
      <c r="I69" s="0" t="n">
        <f aca="false">_xlfn.NORM.DIST(H69,$E$96,$E$97,0)</f>
        <v>0.768776677432675</v>
      </c>
      <c r="J69" s="0" t="n">
        <f aca="false">_xlfn.NORM.DIST(H69,$E$96,$E$97,1)</f>
        <v>0.855565516438018</v>
      </c>
    </row>
    <row r="70" customFormat="false" ht="12.8" hidden="false" customHeight="false" outlineLevel="0" collapsed="false">
      <c r="A70" s="0" t="n">
        <f aca="false">'Исходные данные'!A70</f>
        <v>0.601422</v>
      </c>
      <c r="B70" s="0" t="n">
        <f aca="false">'Исходные данные'!B70</f>
        <v>37.3169</v>
      </c>
      <c r="H70" s="0" t="n">
        <f aca="false">H69+6*$E$97/99</f>
        <v>0.848470946604321</v>
      </c>
      <c r="I70" s="0" t="n">
        <f aca="false">_xlfn.NORM.DIST(H70,$E$96,$E$97,0)</f>
        <v>0.71959231206087</v>
      </c>
      <c r="J70" s="0" t="n">
        <f aca="false">_xlfn.NORM.DIST(H70,$E$96,$E$97,1)</f>
        <v>0.868901209298271</v>
      </c>
    </row>
    <row r="71" customFormat="false" ht="12.8" hidden="false" customHeight="false" outlineLevel="0" collapsed="false">
      <c r="A71" s="0" t="n">
        <f aca="false">'Исходные данные'!A71</f>
        <v>0.150841</v>
      </c>
      <c r="B71" s="0" t="n">
        <f aca="false">'Исходные данные'!B71</f>
        <v>37.4677</v>
      </c>
      <c r="H71" s="0" t="n">
        <f aca="false">H70+6*$E$97/99</f>
        <v>0.866391862474825</v>
      </c>
      <c r="I71" s="0" t="n">
        <f aca="false">_xlfn.NORM.DIST(H71,$E$96,$E$97,0)</f>
        <v>0.671085144805551</v>
      </c>
      <c r="J71" s="0" t="n">
        <f aca="false">_xlfn.NORM.DIST(H71,$E$96,$E$97,1)</f>
        <v>0.881361074065862</v>
      </c>
    </row>
    <row r="72" customFormat="false" ht="12.8" hidden="false" customHeight="false" outlineLevel="0" collapsed="false">
      <c r="A72" s="0" t="n">
        <f aca="false">'Исходные данные'!A72</f>
        <v>0.979656</v>
      </c>
      <c r="B72" s="0" t="n">
        <f aca="false">'Исходные данные'!B72</f>
        <v>38.4474</v>
      </c>
      <c r="H72" s="0" t="n">
        <f aca="false">H71+6*$E$97/99</f>
        <v>0.884312778345328</v>
      </c>
      <c r="I72" s="0" t="n">
        <f aca="false">_xlfn.NORM.DIST(H72,$E$96,$E$97,0)</f>
        <v>0.623553227078345</v>
      </c>
      <c r="J72" s="0" t="n">
        <f aca="false">_xlfn.NORM.DIST(H72,$E$96,$E$97,1)</f>
        <v>0.892959962106524</v>
      </c>
    </row>
    <row r="73" customFormat="false" ht="12.8" hidden="false" customHeight="false" outlineLevel="0" collapsed="false">
      <c r="A73" s="0" t="n">
        <f aca="false">'Исходные данные'!A73</f>
        <v>0.0679385</v>
      </c>
      <c r="B73" s="0" t="n">
        <f aca="false">'Исходные данные'!B73</f>
        <v>38.5153</v>
      </c>
      <c r="H73" s="0" t="n">
        <f aca="false">H72+6*$E$97/99</f>
        <v>0.902233694215832</v>
      </c>
      <c r="I73" s="0" t="n">
        <f aca="false">_xlfn.NORM.DIST(H73,$E$96,$E$97,0)</f>
        <v>0.577263678230677</v>
      </c>
      <c r="J73" s="0" t="n">
        <f aca="false">_xlfn.NORM.DIST(H73,$E$96,$E$97,1)</f>
        <v>0.903717791866381</v>
      </c>
    </row>
    <row r="74" customFormat="false" ht="12.8" hidden="false" customHeight="false" outlineLevel="0" collapsed="false">
      <c r="A74" s="0" t="n">
        <f aca="false">'Исходные данные'!A74</f>
        <v>0.62101</v>
      </c>
      <c r="B74" s="0" t="n">
        <f aca="false">'Исходные данные'!B74</f>
        <v>39.1363</v>
      </c>
      <c r="H74" s="0" t="n">
        <f aca="false">H73+6*$E$97/99</f>
        <v>0.920154610086336</v>
      </c>
      <c r="I74" s="0" t="n">
        <f aca="false">_xlfn.NORM.DIST(H74,$E$96,$E$97,0)</f>
        <v>0.532451100144064</v>
      </c>
      <c r="J74" s="0" t="n">
        <f aca="false">_xlfn.NORM.DIST(H74,$E$96,$E$97,1)</f>
        <v>0.913658979290627</v>
      </c>
    </row>
    <row r="75" customFormat="false" ht="12.8" hidden="false" customHeight="false" outlineLevel="0" collapsed="false">
      <c r="A75" s="0" t="n">
        <f aca="false">'Исходные данные'!A75</f>
        <v>0.17941</v>
      </c>
      <c r="B75" s="0" t="n">
        <f aca="false">'Исходные данные'!B75</f>
        <v>39.3157</v>
      </c>
      <c r="H75" s="0" t="n">
        <f aca="false">H74+6*$E$97/99</f>
        <v>0.93807552595684</v>
      </c>
      <c r="I75" s="0" t="n">
        <f aca="false">_xlfn.NORM.DIST(H75,$E$96,$E$97,0)</f>
        <v>0.489316680015445</v>
      </c>
      <c r="J75" s="0" t="n">
        <f aca="false">_xlfn.NORM.DIST(H75,$E$96,$E$97,1)</f>
        <v>0.92281184603334</v>
      </c>
    </row>
    <row r="76" customFormat="false" ht="12.8" hidden="false" customHeight="false" outlineLevel="0" collapsed="false">
      <c r="A76" s="0" t="n">
        <f aca="false">'Исходные данные'!A76</f>
        <v>0.752879</v>
      </c>
      <c r="B76" s="0" t="n">
        <f aca="false">'Исходные данные'!B76</f>
        <v>40.0686</v>
      </c>
      <c r="H76" s="0" t="n">
        <f aca="false">H75+6*$E$97/99</f>
        <v>0.955996441827344</v>
      </c>
      <c r="I76" s="0" t="n">
        <f aca="false">_xlfn.NORM.DIST(H76,$E$96,$E$97,0)</f>
        <v>0.448027949295262</v>
      </c>
      <c r="J76" s="0" t="n">
        <f aca="false">_xlfn.NORM.DIST(H76,$E$96,$E$97,1)</f>
        <v>0.931208017526527</v>
      </c>
    </row>
    <row r="77" customFormat="false" ht="12.8" hidden="false" customHeight="false" outlineLevel="0" collapsed="false">
      <c r="A77" s="0" t="n">
        <f aca="false">'Исходные данные'!A77</f>
        <v>0.813206</v>
      </c>
      <c r="B77" s="0" t="n">
        <f aca="false">'Исходные данные'!B77</f>
        <v>40.8818</v>
      </c>
      <c r="H77" s="0" t="n">
        <f aca="false">H76+6*$E$97/99</f>
        <v>0.973917357697848</v>
      </c>
      <c r="I77" s="0" t="n">
        <f aca="false">_xlfn.NORM.DIST(H77,$E$96,$E$97,0)</f>
        <v>0.408719153015167</v>
      </c>
      <c r="J77" s="0" t="n">
        <f aca="false">_xlfn.NORM.DIST(H77,$E$96,$E$97,1)</f>
        <v>0.938881822275995</v>
      </c>
    </row>
    <row r="78" customFormat="false" ht="12.8" hidden="false" customHeight="false" outlineLevel="0" collapsed="false">
      <c r="A78" s="0" t="n">
        <f aca="false">'Исходные данные'!A78</f>
        <v>0.933824</v>
      </c>
      <c r="B78" s="0" t="n">
        <f aca="false">'Исходные данные'!B78</f>
        <v>41.8156</v>
      </c>
      <c r="H78" s="0" t="n">
        <f aca="false">H77+6*$E$97/99</f>
        <v>0.991838273568351</v>
      </c>
      <c r="I78" s="0" t="n">
        <f aca="false">_xlfn.NORM.DIST(H78,$E$96,$E$97,0)</f>
        <v>0.371492172369247</v>
      </c>
      <c r="J78" s="0" t="n">
        <f aca="false">_xlfn.NORM.DIST(H78,$E$96,$E$97,1)</f>
        <v>0.945869702825953</v>
      </c>
    </row>
    <row r="79" customFormat="false" ht="12.8" hidden="false" customHeight="false" outlineLevel="0" collapsed="false">
      <c r="A79" s="0" t="n">
        <f aca="false">'Исходные данные'!A79</f>
        <v>0.0860388</v>
      </c>
      <c r="B79" s="0" t="n">
        <f aca="false">'Исходные данные'!B79</f>
        <v>41.9017</v>
      </c>
      <c r="H79" s="0" t="n">
        <f aca="false">H78+6*$E$97/99</f>
        <v>1.00975918943886</v>
      </c>
      <c r="I79" s="0" t="n">
        <f aca="false">_xlfn.NORM.DIST(H79,$E$96,$E$97,0)</f>
        <v>0.33641793456069</v>
      </c>
      <c r="J79" s="0" t="n">
        <f aca="false">_xlfn.NORM.DIST(H79,$E$96,$E$97,1)</f>
        <v>0.952209647727186</v>
      </c>
    </row>
    <row r="80" customFormat="false" ht="12.8" hidden="false" customHeight="false" outlineLevel="0" collapsed="false">
      <c r="A80" s="0" t="n">
        <f aca="false">'Исходные данные'!A80</f>
        <v>0.51345</v>
      </c>
      <c r="B80" s="0" t="n">
        <f aca="false">'Исходные данные'!B80</f>
        <v>42.4151</v>
      </c>
      <c r="H80" s="0" t="n">
        <f aca="false">H79+6*$E$97/99</f>
        <v>1.02768010530936</v>
      </c>
      <c r="I80" s="0" t="n">
        <f aca="false">_xlfn.NORM.DIST(H80,$E$96,$E$97,0)</f>
        <v>0.303538237665604</v>
      </c>
      <c r="J80" s="0" t="n">
        <f aca="false">_xlfn.NORM.DIST(H80,$E$96,$E$97,1)</f>
        <v>0.957940652601044</v>
      </c>
    </row>
    <row r="81" customFormat="false" ht="12.8" hidden="false" customHeight="false" outlineLevel="0" collapsed="false">
      <c r="A81" s="0" t="n">
        <f aca="false">'Исходные данные'!A81</f>
        <v>0.942365</v>
      </c>
      <c r="B81" s="0" t="n">
        <f aca="false">'Исходные данные'!B81</f>
        <v>43.3575</v>
      </c>
      <c r="H81" s="0" t="n">
        <f aca="false">H80+6*$E$97/99</f>
        <v>1.04560102117986</v>
      </c>
      <c r="I81" s="0" t="n">
        <f aca="false">_xlfn.NORM.DIST(H81,$E$96,$E$97,0)</f>
        <v>0.272867914571616</v>
      </c>
      <c r="J81" s="0" t="n">
        <f aca="false">_xlfn.NORM.DIST(H81,$E$96,$E$97,1)</f>
        <v>0.963102217059931</v>
      </c>
    </row>
    <row r="82" customFormat="false" ht="12.8" hidden="false" customHeight="false" outlineLevel="0" collapsed="false">
      <c r="A82" s="0" t="n">
        <f aca="false">'Исходные данные'!A82</f>
        <v>0.170963</v>
      </c>
      <c r="B82" s="0" t="n">
        <f aca="false">'Исходные данные'!B82</f>
        <v>43.5285</v>
      </c>
      <c r="H82" s="0" t="n">
        <f aca="false">H81+6*$E$97/99</f>
        <v>1.06352193705037</v>
      </c>
      <c r="I82" s="0" t="n">
        <f aca="false">_xlfn.NORM.DIST(H82,$E$96,$E$97,0)</f>
        <v>0.244397258808046</v>
      </c>
      <c r="J82" s="0" t="n">
        <f aca="false">_xlfn.NORM.DIST(H82,$E$96,$E$97,1)</f>
        <v>0.967733882869306</v>
      </c>
    </row>
    <row r="83" customFormat="false" ht="12.8" hidden="false" customHeight="false" outlineLevel="0" collapsed="false">
      <c r="A83" s="0" t="n">
        <f aca="false">'Исходные данные'!A83</f>
        <v>0.475305</v>
      </c>
      <c r="B83" s="0" t="n">
        <f aca="false">'Исходные данные'!B83</f>
        <v>44.0038</v>
      </c>
      <c r="H83" s="0" t="n">
        <f aca="false">H82+6*$E$97/99</f>
        <v>1.08144285292087</v>
      </c>
      <c r="I83" s="0" t="n">
        <f aca="false">_xlfn.NORM.DIST(H83,$E$96,$E$97,0)</f>
        <v>0.218094636108638</v>
      </c>
      <c r="J83" s="0" t="n">
        <f aca="false">_xlfn.NORM.DIST(H83,$E$96,$E$97,1)</f>
        <v>0.971874817359017</v>
      </c>
    </row>
    <row r="84" customFormat="false" ht="12.8" hidden="false" customHeight="false" outlineLevel="0" collapsed="false">
      <c r="A84" s="0" t="n">
        <f aca="false">'Исходные данные'!A84</f>
        <v>0.234191</v>
      </c>
      <c r="B84" s="0" t="n">
        <f aca="false">'Исходные данные'!B84</f>
        <v>44.238</v>
      </c>
      <c r="H84" s="0" t="n">
        <f aca="false">H83+6*$E$97/99</f>
        <v>1.09936376879137</v>
      </c>
      <c r="I84" s="0" t="n">
        <f aca="false">_xlfn.NORM.DIST(H84,$E$96,$E$97,0)</f>
        <v>0.193909208588193</v>
      </c>
      <c r="J84" s="0" t="n">
        <f aca="false">_xlfn.NORM.DIST(H84,$E$96,$E$97,1)</f>
        <v>0.975563444751366</v>
      </c>
    </row>
    <row r="85" customFormat="false" ht="12.8" hidden="false" customHeight="false" outlineLevel="0" collapsed="false">
      <c r="A85" s="0" t="n">
        <f aca="false">'Исходные данные'!A85</f>
        <v>0.646537</v>
      </c>
      <c r="B85" s="0" t="n">
        <f aca="false">'Исходные данные'!B85</f>
        <v>44.8845</v>
      </c>
      <c r="H85" s="0" t="n">
        <f aca="false">H84+6*$E$97/99</f>
        <v>1.11728468466188</v>
      </c>
      <c r="I85" s="0" t="n">
        <f aca="false">_xlfn.NORM.DIST(H85,$E$96,$E$97,0)</f>
        <v>0.171773703176002</v>
      </c>
      <c r="J85" s="0" t="n">
        <f aca="false">_xlfn.NORM.DIST(H85,$E$96,$E$97,1)</f>
        <v>0.978837126803304</v>
      </c>
    </row>
    <row r="86" customFormat="false" ht="12.8" hidden="false" customHeight="false" outlineLevel="0" collapsed="false">
      <c r="A86" s="0" t="n">
        <f aca="false">'Исходные данные'!A86</f>
        <v>0.683904</v>
      </c>
      <c r="B86" s="0" t="n">
        <f aca="false">'Исходные данные'!B86</f>
        <v>45.5684</v>
      </c>
      <c r="H86" s="0" t="n">
        <f aca="false">H85+6*$E$97/99</f>
        <v>1.13520560053238</v>
      </c>
      <c r="I86" s="0" t="n">
        <f aca="false">_xlfn.NORM.DIST(H86,$E$96,$E$97,0)</f>
        <v>0.151607162107282</v>
      </c>
      <c r="J86" s="0" t="n">
        <f aca="false">_xlfn.NORM.DIST(H86,$E$96,$E$97,1)</f>
        <v>0.98173189298846</v>
      </c>
    </row>
    <row r="87" customFormat="false" ht="12.8" hidden="false" customHeight="false" outlineLevel="0" collapsed="false">
      <c r="A87" s="0" t="n">
        <f aca="false">'Исходные данные'!A87</f>
        <v>0.663593</v>
      </c>
      <c r="B87" s="0" t="n">
        <f aca="false">'Исходные данные'!B87</f>
        <v>46.232</v>
      </c>
      <c r="H87" s="0" t="n">
        <f aca="false">H86+6*$E$97/99</f>
        <v>1.15312651640289</v>
      </c>
      <c r="I87" s="0" t="n">
        <f aca="false">_xlfn.NORM.DIST(H87,$E$96,$E$97,0)</f>
        <v>0.133317620489616</v>
      </c>
      <c r="J87" s="0" t="n">
        <f aca="false">_xlfn.NORM.DIST(H87,$E$96,$E$97,1)</f>
        <v>0.984282219393392</v>
      </c>
    </row>
    <row r="88" customFormat="false" ht="12.8" hidden="false" customHeight="false" outlineLevel="0" collapsed="false">
      <c r="A88" s="0" t="n">
        <f aca="false">'Исходные данные'!A88</f>
        <v>0.180721</v>
      </c>
      <c r="B88" s="0" t="n">
        <f aca="false">'Исходные данные'!B88</f>
        <v>46.4127</v>
      </c>
      <c r="H88" s="0" t="n">
        <f aca="false">H87+6*$E$97/99</f>
        <v>1.17104743227339</v>
      </c>
      <c r="I88" s="0" t="n">
        <f aca="false">_xlfn.NORM.DIST(H88,$E$96,$E$97,0)</f>
        <v>0.116804663895478</v>
      </c>
      <c r="J88" s="0" t="n">
        <f aca="false">_xlfn.NORM.DIST(H88,$E$96,$E$97,1)</f>
        <v>0.986520854587375</v>
      </c>
    </row>
    <row r="89" customFormat="false" ht="12.8" hidden="false" customHeight="false" outlineLevel="0" collapsed="false">
      <c r="A89" s="0" t="n">
        <f aca="false">'Исходные данные'!A89</f>
        <v>0.345177</v>
      </c>
      <c r="B89" s="0" t="n">
        <f aca="false">'Исходные данные'!B89</f>
        <v>46.7579</v>
      </c>
      <c r="H89" s="0" t="n">
        <f aca="false">H88+6*$E$97/99</f>
        <v>1.18896834814389</v>
      </c>
      <c r="I89" s="0" t="n">
        <f aca="false">_xlfn.NORM.DIST(H89,$E$96,$E$97,0)</f>
        <v>0.101961827257858</v>
      </c>
      <c r="J89" s="0" t="n">
        <f aca="false">_xlfn.NORM.DIST(H89,$E$96,$E$97,1)</f>
        <v>0.988478689956119</v>
      </c>
    </row>
    <row r="90" customFormat="false" ht="12.8" hidden="false" customHeight="false" outlineLevel="0" collapsed="false">
      <c r="A90" s="0" t="n">
        <f aca="false">'Исходные данные'!A90</f>
        <v>0.321016</v>
      </c>
      <c r="B90" s="0" t="n">
        <f aca="false">'Исходные данные'!B90</f>
        <v>47.0789</v>
      </c>
      <c r="H90" s="0" t="n">
        <f aca="false">H89+6*$E$97/99</f>
        <v>1.2068892640144</v>
      </c>
      <c r="I90" s="0" t="n">
        <f aca="false">_xlfn.NORM.DIST(H90,$E$96,$E$97,0)</f>
        <v>0.0886788047610011</v>
      </c>
      <c r="J90" s="0" t="n">
        <f aca="false">_xlfn.NORM.DIST(H90,$E$96,$E$97,1)</f>
        <v>0.990184671371355</v>
      </c>
    </row>
    <row r="91" customFormat="false" ht="12.8" hidden="false" customHeight="false" outlineLevel="0" collapsed="false">
      <c r="A91" s="0" t="n">
        <f aca="false">'Исходные данные'!A91</f>
        <v>0.869046</v>
      </c>
      <c r="B91" s="0" t="n">
        <f aca="false">'Исходные данные'!B91</f>
        <v>47.9479</v>
      </c>
      <c r="H91" s="0" t="n">
        <f aca="false">H90+6*$E$97/99</f>
        <v>1.2248101798849</v>
      </c>
      <c r="I91" s="0" t="n">
        <f aca="false">_xlfn.NORM.DIST(H91,$E$96,$E$97,0)</f>
        <v>0.0768434486519296</v>
      </c>
      <c r="J91" s="0" t="n">
        <f aca="false">_xlfn.NORM.DIST(H91,$E$96,$E$97,1)</f>
        <v>0.991665748599305</v>
      </c>
    </row>
    <row r="92" customFormat="false" ht="12.8" hidden="false" customHeight="false" outlineLevel="0" collapsed="false">
      <c r="A92" s="0" t="n">
        <f aca="false">'Исходные данные'!A92</f>
        <v>0.251554</v>
      </c>
      <c r="B92" s="0" t="n">
        <f aca="false">'Исходные данные'!B92</f>
        <v>48.1995</v>
      </c>
      <c r="H92" s="0" t="n">
        <f aca="false">H91+6*$E$97/99</f>
        <v>1.2427310957554</v>
      </c>
      <c r="I92" s="0" t="n">
        <f aca="false">_xlfn.NORM.DIST(H92,$E$96,$E$97,0)</f>
        <v>0.0663435427191485</v>
      </c>
      <c r="J92" s="0" t="n">
        <f aca="false">_xlfn.NORM.DIST(H92,$E$96,$E$97,1)</f>
        <v>0.99294685852631</v>
      </c>
    </row>
    <row r="93" customFormat="false" ht="12.8" hidden="false" customHeight="false" outlineLevel="0" collapsed="false">
      <c r="A93" s="0" t="n">
        <f aca="false">'Исходные данные'!A93</f>
        <v>0.893495</v>
      </c>
      <c r="B93" s="0" t="n">
        <f aca="false">'Исходные данные'!B93</f>
        <v>49.093</v>
      </c>
      <c r="H93" s="0" t="n">
        <f aca="false">H92+6*$E$97/99</f>
        <v>1.26065201162591</v>
      </c>
      <c r="I93" s="0" t="n">
        <f aca="false">_xlfn.NORM.DIST(H93,$E$96,$E$97,0)</f>
        <v>0.0570683434037369</v>
      </c>
      <c r="J93" s="0" t="n">
        <f aca="false">_xlfn.NORM.DIST(H93,$E$96,$E$97,1)</f>
        <v>0.994050938090157</v>
      </c>
    </row>
    <row r="94" customFormat="false" ht="12.8" hidden="false" customHeight="false" outlineLevel="0" collapsed="false">
      <c r="A94" s="0" t="n">
        <f aca="false">'Исходные данные'!A94</f>
        <v>0.157976</v>
      </c>
      <c r="B94" s="0" t="n">
        <f aca="false">'Исходные данные'!B94</f>
        <v>49.251</v>
      </c>
      <c r="H94" s="0" t="n">
        <f aca="false">H93+6*$E$97/99</f>
        <v>1.27857292749641</v>
      </c>
      <c r="I94" s="0" t="n">
        <f aca="false">_xlfn.NORM.DIST(H94,$E$96,$E$97,0)</f>
        <v>0.0489098879805604</v>
      </c>
      <c r="J94" s="0" t="n">
        <f aca="false">_xlfn.NORM.DIST(H94,$E$96,$E$97,1)</f>
        <v>0.994998962738752</v>
      </c>
    </row>
    <row r="95" customFormat="false" ht="12.8" hidden="false" customHeight="false" outlineLevel="0" collapsed="false">
      <c r="A95" s="0" t="n">
        <f aca="false">'Исходные данные'!A95</f>
        <v>0.204799</v>
      </c>
      <c r="B95" s="0" t="n">
        <f aca="false">'Исходные данные'!B95</f>
        <v>49.4558</v>
      </c>
      <c r="H95" s="0" t="n">
        <f aca="false">H94+6*$E$97/99</f>
        <v>1.29649384336692</v>
      </c>
      <c r="I95" s="0" t="n">
        <f aca="false">_xlfn.NORM.DIST(H95,$E$96,$E$97,0)</f>
        <v>0.0417640748732751</v>
      </c>
      <c r="J95" s="0" t="n">
        <f aca="false">_xlfn.NORM.DIST(H95,$E$96,$E$97,1)</f>
        <v>0.995810006279493</v>
      </c>
    </row>
    <row r="96" customFormat="false" ht="17.35" hidden="false" customHeight="false" outlineLevel="0" collapsed="false">
      <c r="A96" s="0" t="n">
        <f aca="false">'Исходные данные'!A96</f>
        <v>0.208352</v>
      </c>
      <c r="B96" s="0" t="n">
        <f aca="false">'Исходные данные'!B96</f>
        <v>49.6641</v>
      </c>
      <c r="D96" s="3" t="s">
        <v>9</v>
      </c>
      <c r="E96" s="8" t="n">
        <f aca="false">AVERAGE(A2:A101)</f>
        <v>0.516934003</v>
      </c>
      <c r="H96" s="0" t="n">
        <f aca="false">H95+6*$E$97/99</f>
        <v>1.31441475923742</v>
      </c>
      <c r="I96" s="0" t="n">
        <f aca="false">_xlfn.NORM.DIST(H96,$E$96,$E$97,0)</f>
        <v>0.0355315258880799</v>
      </c>
      <c r="J96" s="0" t="n">
        <f aca="false">_xlfn.NORM.DIST(H96,$E$96,$E$97,1)</f>
        <v>0.996501318117053</v>
      </c>
    </row>
    <row r="97" customFormat="false" ht="17.35" hidden="false" customHeight="false" outlineLevel="0" collapsed="false">
      <c r="A97" s="0" t="n">
        <f aca="false">'Исходные данные'!A97</f>
        <v>0.546034</v>
      </c>
      <c r="B97" s="0" t="n">
        <f aca="false">'Исходные данные'!B97</f>
        <v>50.2102</v>
      </c>
      <c r="D97" s="3" t="s">
        <v>10</v>
      </c>
      <c r="E97" s="8" t="n">
        <f aca="false">STDEV(A2:A101)</f>
        <v>0.295695111863312</v>
      </c>
      <c r="H97" s="0" t="n">
        <f aca="false">H96+6*$E$97/99</f>
        <v>1.33233567510792</v>
      </c>
      <c r="I97" s="0" t="n">
        <f aca="false">_xlfn.NORM.DIST(H97,$E$96,$E$97,0)</f>
        <v>0.0301182439482889</v>
      </c>
      <c r="J97" s="0" t="n">
        <f aca="false">_xlfn.NORM.DIST(H97,$E$96,$E$97,1)</f>
        <v>0.997088414088094</v>
      </c>
    </row>
    <row r="98" customFormat="false" ht="12.8" hidden="false" customHeight="false" outlineLevel="0" collapsed="false">
      <c r="A98" s="0" t="n">
        <f aca="false">'Исходные данные'!A98</f>
        <v>0.883658</v>
      </c>
      <c r="B98" s="0" t="n">
        <f aca="false">'Исходные данные'!B98</f>
        <v>51.0938</v>
      </c>
      <c r="H98" s="0" t="n">
        <f aca="false">H97+6*$E$97/99</f>
        <v>1.35025659097843</v>
      </c>
      <c r="I98" s="0" t="n">
        <f aca="false">_xlfn.NORM.DIST(H98,$E$96,$E$97,0)</f>
        <v>0.0254360827993191</v>
      </c>
      <c r="J98" s="0" t="n">
        <f aca="false">_xlfn.NORM.DIST(H98,$E$96,$E$97,1)</f>
        <v>0.99758517737203</v>
      </c>
    </row>
    <row r="99" customFormat="false" ht="12.8" hidden="false" customHeight="false" outlineLevel="0" collapsed="false">
      <c r="A99" s="0" t="n">
        <f aca="false">'Исходные данные'!A99</f>
        <v>0.286789</v>
      </c>
      <c r="B99" s="0" t="n">
        <f aca="false">'Исходные данные'!B99</f>
        <v>51.3806</v>
      </c>
      <c r="H99" s="0" t="n">
        <f aca="false">H98+6*$E$97/99</f>
        <v>1.36817750684893</v>
      </c>
      <c r="I99" s="0" t="n">
        <f aca="false">_xlfn.NORM.DIST(H99,$E$96,$E$97,0)</f>
        <v>0.0214030471748486</v>
      </c>
      <c r="J99" s="0" t="n">
        <f aca="false">_xlfn.NORM.DIST(H99,$E$96,$E$97,1)</f>
        <v>0.998003966271442</v>
      </c>
    </row>
    <row r="100" customFormat="false" ht="12.8" hidden="false" customHeight="false" outlineLevel="0" collapsed="false">
      <c r="A100" s="0" t="n">
        <f aca="false">'Исходные данные'!A100</f>
        <v>0.24097</v>
      </c>
      <c r="B100" s="0" t="n">
        <f aca="false">'Исходные данные'!B100</f>
        <v>51.6216</v>
      </c>
      <c r="H100" s="0" t="n">
        <f aca="false">H99+6*$E$97/99</f>
        <v>1.38609842271944</v>
      </c>
      <c r="I100" s="0" t="n">
        <f aca="false">_xlfn.NORM.DIST(H100,$E$96,$E$97,0)</f>
        <v>0.0179434431359153</v>
      </c>
      <c r="J100" s="0" t="n">
        <f aca="false">_xlfn.NORM.DIST(H100,$E$96,$E$97,1)</f>
        <v>0.998355725999234</v>
      </c>
    </row>
    <row r="101" customFormat="false" ht="17.35" hidden="false" customHeight="false" outlineLevel="0" collapsed="false">
      <c r="A101" s="0" t="n">
        <f aca="false">'Исходные данные'!A101</f>
        <v>0.0718273</v>
      </c>
      <c r="B101" s="0" t="n">
        <f aca="false">'Исходные данные'!B101</f>
        <v>51.6934</v>
      </c>
      <c r="F101" s="1" t="s">
        <v>11</v>
      </c>
      <c r="G101" s="0" t="n">
        <f aca="false">(E96+3*E97)</f>
        <v>1.40401933858994</v>
      </c>
      <c r="H101" s="0" t="n">
        <f aca="false">H100+6*$E$97/99</f>
        <v>1.40401933858994</v>
      </c>
      <c r="I101" s="0" t="n">
        <f aca="false">_xlfn.NORM.DIST(H101,$E$96,$E$97,0)</f>
        <v>0.0149878987989039</v>
      </c>
      <c r="J101" s="0" t="n">
        <f aca="false">_xlfn.NORM.DIST(H101,$E$96,$E$97,1)</f>
        <v>0.99865010196837</v>
      </c>
    </row>
    <row r="110" customFormat="false" ht="12.8" hidden="false" customHeight="false" outlineLevel="0" collapsed="false">
      <c r="K110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41" colorId="64" zoomScale="120" zoomScaleNormal="120" zoomScalePageLayoutView="100" workbookViewId="0">
      <selection pane="topLeft" activeCell="E148" activeCellId="0" sqref="E148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7.85"/>
    <col collapsed="false" customWidth="true" hidden="false" outlineLevel="0" max="7" min="7" style="0" width="17.85"/>
    <col collapsed="false" customWidth="true" hidden="false" outlineLevel="0" max="8" min="8" style="0" width="21.68"/>
    <col collapsed="false" customWidth="true" hidden="false" outlineLevel="0" max="9" min="9" style="0" width="36.58"/>
    <col collapsed="false" customWidth="true" hidden="false" outlineLevel="0" max="10" min="10" style="0" width="32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F1" s="2"/>
      <c r="H1" s="1" t="s">
        <v>5</v>
      </c>
      <c r="I1" s="1" t="s">
        <v>6</v>
      </c>
      <c r="J1" s="1" t="s">
        <v>7</v>
      </c>
    </row>
    <row r="2" customFormat="false" ht="17.35" hidden="false" customHeight="false" outlineLevel="0" collapsed="false">
      <c r="A2" s="0" t="n">
        <f aca="false">'Исходные данные'!A2</f>
        <v>0.59931</v>
      </c>
      <c r="B2" s="0" t="n">
        <f aca="false">'Исходные данные'!B2</f>
        <v>0.59931</v>
      </c>
      <c r="F2" s="1" t="s">
        <v>8</v>
      </c>
      <c r="G2" s="0" t="n">
        <f aca="false">(E146-3*E147)</f>
        <v>-0.370752801003947</v>
      </c>
      <c r="H2" s="0" t="n">
        <f aca="false">(E146-3*E147)</f>
        <v>-0.370752801003947</v>
      </c>
      <c r="I2" s="0" t="n">
        <f aca="false">_xlfn.NORM.DIST(H2,$E$146,$E$147,0)</f>
        <v>0.0149392599216998</v>
      </c>
      <c r="J2" s="0" t="n">
        <f aca="false">_xlfn.NORM.DIST(H2,$E$146,$E$147,1)</f>
        <v>0.00134989803163009</v>
      </c>
    </row>
    <row r="3" customFormat="false" ht="12.8" hidden="false" customHeight="false" outlineLevel="0" collapsed="false">
      <c r="A3" s="0" t="n">
        <f aca="false">'Исходные данные'!A3</f>
        <v>0.52672</v>
      </c>
      <c r="B3" s="0" t="n">
        <f aca="false">'Исходные данные'!B3</f>
        <v>1.12603</v>
      </c>
      <c r="H3" s="0" t="n">
        <f aca="false">H2+6*$E$147/149</f>
        <v>-0.358806848167205</v>
      </c>
      <c r="I3" s="0" t="n">
        <f aca="false">_xlfn.NORM.DIST(H3,$E$146,$E$147,0)</f>
        <v>0.0168438774825112</v>
      </c>
      <c r="J3" s="0" t="n">
        <f aca="false">_xlfn.NORM.DIST(H3,$E$146,$E$147,1)</f>
        <v>0.00153953612004278</v>
      </c>
    </row>
    <row r="4" customFormat="false" ht="12.8" hidden="false" customHeight="false" outlineLevel="0" collapsed="false">
      <c r="A4" s="0" t="n">
        <f aca="false">'Исходные данные'!A4</f>
        <v>0.39169</v>
      </c>
      <c r="B4" s="0" t="n">
        <f aca="false">'Исходные данные'!B4</f>
        <v>1.51772</v>
      </c>
      <c r="H4" s="0" t="n">
        <f aca="false">H3+6*$E$147/149</f>
        <v>-0.346860895330463</v>
      </c>
      <c r="I4" s="0" t="n">
        <f aca="false">_xlfn.NORM.DIST(H4,$E$146,$E$147,0)</f>
        <v>0.0189605457913241</v>
      </c>
      <c r="J4" s="0" t="n">
        <f aca="false">_xlfn.NORM.DIST(H4,$E$146,$E$147,1)</f>
        <v>0.00175317458663877</v>
      </c>
    </row>
    <row r="5" customFormat="false" ht="12.8" hidden="false" customHeight="false" outlineLevel="0" collapsed="false">
      <c r="A5" s="0" t="n">
        <f aca="false">'Исходные данные'!A5</f>
        <v>0.996682</v>
      </c>
      <c r="B5" s="0" t="n">
        <f aca="false">'Исходные данные'!B5</f>
        <v>2.5144</v>
      </c>
      <c r="H5" s="0" t="n">
        <f aca="false">H4+6*$E$147/149</f>
        <v>-0.334914942493721</v>
      </c>
      <c r="I5" s="0" t="n">
        <f aca="false">_xlfn.NORM.DIST(H5,$E$146,$E$147,0)</f>
        <v>0.0213086220215677</v>
      </c>
      <c r="J5" s="0" t="n">
        <f aca="false">_xlfn.NORM.DIST(H5,$E$146,$E$147,1)</f>
        <v>0.0019934609921945</v>
      </c>
    </row>
    <row r="6" customFormat="false" ht="12.8" hidden="false" customHeight="false" outlineLevel="0" collapsed="false">
      <c r="A6" s="0" t="n">
        <f aca="false">'Исходные данные'!A6</f>
        <v>0.574168</v>
      </c>
      <c r="B6" s="0" t="n">
        <f aca="false">'Исходные данные'!B6</f>
        <v>3.08857</v>
      </c>
      <c r="H6" s="0" t="n">
        <f aca="false">H5+6*$E$147/149</f>
        <v>-0.322968989656979</v>
      </c>
      <c r="I6" s="0" t="n">
        <f aca="false">_xlfn.NORM.DIST(H6,$E$146,$E$147,0)</f>
        <v>0.0239086837473643</v>
      </c>
      <c r="J6" s="0" t="n">
        <f aca="false">_xlfn.NORM.DIST(H6,$E$146,$E$147,1)</f>
        <v>0.00226328141287558</v>
      </c>
    </row>
    <row r="7" customFormat="false" ht="12.8" hidden="false" customHeight="false" outlineLevel="0" collapsed="false">
      <c r="A7" s="0" t="n">
        <f aca="false">'Исходные данные'!A7</f>
        <v>0.51831</v>
      </c>
      <c r="B7" s="0" t="n">
        <f aca="false">'Исходные данные'!B7</f>
        <v>3.60688</v>
      </c>
      <c r="H7" s="0" t="n">
        <f aca="false">H6+6*$E$147/149</f>
        <v>-0.311023036820237</v>
      </c>
      <c r="I7" s="0" t="n">
        <f aca="false">_xlfn.NORM.DIST(H7,$E$146,$E$147,0)</f>
        <v>0.0267825385942636</v>
      </c>
      <c r="J7" s="0" t="n">
        <f aca="false">_xlfn.NORM.DIST(H7,$E$146,$E$147,1)</f>
        <v>0.00256577508549631</v>
      </c>
    </row>
    <row r="8" customFormat="false" ht="12.8" hidden="false" customHeight="false" outlineLevel="0" collapsed="false">
      <c r="A8" s="0" t="n">
        <f aca="false">'Исходные данные'!A8</f>
        <v>0.530825</v>
      </c>
      <c r="B8" s="0" t="n">
        <f aca="false">'Исходные данные'!B8</f>
        <v>4.13771</v>
      </c>
      <c r="H8" s="0" t="n">
        <f aca="false">H7+6*$E$147/149</f>
        <v>-0.299077083983495</v>
      </c>
      <c r="I8" s="0" t="n">
        <f aca="false">_xlfn.NORM.DIST(H8,$E$146,$E$147,0)</f>
        <v>0.0299532245175242</v>
      </c>
      <c r="J8" s="0" t="n">
        <f aca="false">_xlfn.NORM.DIST(H8,$E$146,$E$147,1)</f>
        <v>0.00290434911321525</v>
      </c>
    </row>
    <row r="9" customFormat="false" ht="12.8" hidden="false" customHeight="false" outlineLevel="0" collapsed="false">
      <c r="A9" s="0" t="n">
        <f aca="false">'Исходные данные'!A9</f>
        <v>0.624686</v>
      </c>
      <c r="B9" s="0" t="n">
        <f aca="false">'Исходные данные'!B9</f>
        <v>4.76239</v>
      </c>
      <c r="H9" s="0" t="n">
        <f aca="false">H8+6*$E$147/149</f>
        <v>-0.287131131146753</v>
      </c>
      <c r="I9" s="0" t="n">
        <f aca="false">_xlfn.NORM.DIST(H9,$E$146,$E$147,0)</f>
        <v>0.0334449995624363</v>
      </c>
      <c r="J9" s="0" t="n">
        <f aca="false">_xlfn.NORM.DIST(H9,$E$146,$E$147,1)</f>
        <v>0.00328269311288037</v>
      </c>
    </row>
    <row r="10" customFormat="false" ht="12.8" hidden="false" customHeight="false" outlineLevel="0" collapsed="false">
      <c r="A10" s="0" t="n">
        <f aca="false">'Исходные данные'!A10</f>
        <v>0.134262</v>
      </c>
      <c r="B10" s="0" t="n">
        <f aca="false">'Исходные данные'!B10</f>
        <v>4.89665</v>
      </c>
      <c r="H10" s="0" t="n">
        <f aca="false">H9+6*$E$147/149</f>
        <v>-0.275185178310011</v>
      </c>
      <c r="I10" s="0" t="n">
        <f aca="false">_xlfn.NORM.DIST(H10,$E$146,$E$147,0)</f>
        <v>0.0372833199488085</v>
      </c>
      <c r="J10" s="0" t="n">
        <f aca="false">_xlfn.NORM.DIST(H10,$E$146,$E$147,1)</f>
        <v>0.00370479367146653</v>
      </c>
    </row>
    <row r="11" customFormat="false" ht="12.8" hidden="false" customHeight="false" outlineLevel="0" collapsed="false">
      <c r="A11" s="0" t="n">
        <f aca="false">'Исходные данные'!A11</f>
        <v>0.311794</v>
      </c>
      <c r="B11" s="0" t="n">
        <f aca="false">'Исходные данные'!B11</f>
        <v>5.20845</v>
      </c>
      <c r="H11" s="0" t="n">
        <f aca="false">H10+6*$E$147/149</f>
        <v>-0.263239225473269</v>
      </c>
      <c r="I11" s="0" t="n">
        <f aca="false">_xlfn.NORM.DIST(H11,$E$146,$E$147,0)</f>
        <v>0.041494805323744</v>
      </c>
      <c r="J11" s="0" t="n">
        <f aca="false">_xlfn.NORM.DIST(H11,$E$146,$E$147,1)</f>
        <v>0.00417494846521257</v>
      </c>
    </row>
    <row r="12" customFormat="false" ht="12.8" hidden="false" customHeight="false" outlineLevel="0" collapsed="false">
      <c r="A12" s="0" t="n">
        <f aca="false">'Исходные данные'!A12</f>
        <v>0.533984</v>
      </c>
      <c r="B12" s="0" t="n">
        <f aca="false">'Исходные данные'!B12</f>
        <v>5.74243</v>
      </c>
      <c r="H12" s="0" t="n">
        <f aca="false">H11+6*$E$147/149</f>
        <v>-0.251293272636527</v>
      </c>
      <c r="I12" s="0" t="n">
        <f aca="false">_xlfn.NORM.DIST(H12,$E$146,$E$147,0)</f>
        <v>0.0461071900449061</v>
      </c>
      <c r="J12" s="0" t="n">
        <f aca="false">_xlfn.NORM.DIST(H12,$E$146,$E$147,1)</f>
        <v>0.00469777988134835</v>
      </c>
    </row>
    <row r="13" customFormat="false" ht="12.8" hidden="false" customHeight="false" outlineLevel="0" collapsed="false">
      <c r="A13" s="0" t="n">
        <f aca="false">'Исходные данные'!A13</f>
        <v>0.440809</v>
      </c>
      <c r="B13" s="0" t="n">
        <f aca="false">'Исходные данные'!B13</f>
        <v>6.18324</v>
      </c>
      <c r="H13" s="0" t="n">
        <f aca="false">H12+6*$E$147/149</f>
        <v>-0.239347319799785</v>
      </c>
      <c r="I13" s="0" t="n">
        <f aca="false">_xlfn.NORM.DIST(H13,$E$146,$E$147,0)</f>
        <v>0.0511492593922142</v>
      </c>
      <c r="J13" s="0" t="n">
        <f aca="false">_xlfn.NORM.DIST(H13,$E$146,$E$147,1)</f>
        <v>0.00527824796890521</v>
      </c>
    </row>
    <row r="14" customFormat="false" ht="12.8" hidden="false" customHeight="false" outlineLevel="0" collapsed="false">
      <c r="A14" s="0" t="n">
        <f aca="false">'Исходные данные'!A14</f>
        <v>0.063503</v>
      </c>
      <c r="B14" s="0" t="n">
        <f aca="false">'Исходные данные'!B14</f>
        <v>6.24674</v>
      </c>
      <c r="H14" s="0" t="n">
        <f aca="false">H13+6*$E$147/149</f>
        <v>-0.227401366963043</v>
      </c>
      <c r="I14" s="0" t="n">
        <f aca="false">_xlfn.NORM.DIST(H14,$E$146,$E$147,0)</f>
        <v>0.0566507696608212</v>
      </c>
      <c r="J14" s="0" t="n">
        <f aca="false">_xlfn.NORM.DIST(H14,$E$146,$E$147,1)</f>
        <v>0.00592166253224641</v>
      </c>
    </row>
    <row r="15" customFormat="false" ht="12.8" hidden="false" customHeight="false" outlineLevel="0" collapsed="false">
      <c r="A15" s="0" t="n">
        <f aca="false">'Исходные данные'!A15</f>
        <v>0.872792</v>
      </c>
      <c r="B15" s="0" t="n">
        <f aca="false">'Исходные данные'!B15</f>
        <v>7.11953</v>
      </c>
      <c r="H15" s="0" t="n">
        <f aca="false">H14+6*$E$147/149</f>
        <v>-0.215455414126301</v>
      </c>
      <c r="I15" s="0" t="n">
        <f aca="false">_xlfn.NORM.DIST(H15,$E$146,$E$147,0)</f>
        <v>0.0626423511636279</v>
      </c>
      <c r="J15" s="0" t="n">
        <f aca="false">_xlfn.NORM.DIST(H15,$E$146,$E$147,1)</f>
        <v>0.00663369416887428</v>
      </c>
    </row>
    <row r="16" customFormat="false" ht="12.8" hidden="false" customHeight="false" outlineLevel="0" collapsed="false">
      <c r="A16" s="0" t="n">
        <f aca="false">'Исходные данные'!A16</f>
        <v>0.224759</v>
      </c>
      <c r="B16" s="0" t="n">
        <f aca="false">'Исходные данные'!B16</f>
        <v>7.34429</v>
      </c>
      <c r="H16" s="0" t="n">
        <f aca="false">H15+6*$E$147/149</f>
        <v>-0.203509461289559</v>
      </c>
      <c r="I16" s="0" t="n">
        <f aca="false">_xlfn.NORM.DIST(H16,$E$146,$E$147,0)</f>
        <v>0.0691553932686334</v>
      </c>
      <c r="J16" s="0" t="n">
        <f aca="false">_xlfn.NORM.DIST(H16,$E$146,$E$147,1)</f>
        <v>0.00742038404201981</v>
      </c>
    </row>
    <row r="17" customFormat="false" ht="12.8" hidden="false" customHeight="false" outlineLevel="0" collapsed="false">
      <c r="A17" s="0" t="n">
        <f aca="false">'Исходные данные'!A17</f>
        <v>0.202601</v>
      </c>
      <c r="B17" s="0" t="n">
        <f aca="false">'Исходные данные'!B17</f>
        <v>7.54689</v>
      </c>
      <c r="H17" s="0" t="n">
        <f aca="false">H16+6*$E$147/149</f>
        <v>-0.191563508452817</v>
      </c>
      <c r="I17" s="0" t="n">
        <f aca="false">_xlfn.NORM.DIST(H17,$E$146,$E$147,0)</f>
        <v>0.0762219107159897</v>
      </c>
      <c r="J17" s="0" t="n">
        <f aca="false">_xlfn.NORM.DIST(H17,$E$146,$E$147,1)</f>
        <v>0.00828815216876297</v>
      </c>
    </row>
    <row r="18" customFormat="false" ht="12.8" hidden="false" customHeight="false" outlineLevel="0" collapsed="false">
      <c r="A18" s="0" t="n">
        <f aca="false">'Исходные данные'!A18</f>
        <v>0.700437</v>
      </c>
      <c r="B18" s="0" t="n">
        <f aca="false">'Исходные данные'!B18</f>
        <v>8.24733</v>
      </c>
      <c r="H18" s="0" t="n">
        <f aca="false">H17+6*$E$147/149</f>
        <v>-0.179617555616075</v>
      </c>
      <c r="I18" s="0" t="n">
        <f aca="false">_xlfn.NORM.DIST(H18,$E$146,$E$147,0)</f>
        <v>0.0838743906023358</v>
      </c>
      <c r="J18" s="0" t="n">
        <f aca="false">_xlfn.NORM.DIST(H18,$E$146,$E$147,1)</f>
        <v>0.00924380399624024</v>
      </c>
    </row>
    <row r="19" customFormat="false" ht="12.8" hidden="false" customHeight="false" outlineLevel="0" collapsed="false">
      <c r="A19" s="0" t="n">
        <f aca="false">'Исходные данные'!A19</f>
        <v>0.488813</v>
      </c>
      <c r="B19" s="0" t="n">
        <f aca="false">'Исходные данные'!B19</f>
        <v>8.73615</v>
      </c>
      <c r="H19" s="0" t="n">
        <f aca="false">H18+6*$E$147/149</f>
        <v>-0.167671602779333</v>
      </c>
      <c r="I19" s="0" t="n">
        <f aca="false">_xlfn.NORM.DIST(H19,$E$146,$E$147,0)</f>
        <v>0.0921456195861057</v>
      </c>
      <c r="J19" s="0" t="n">
        <f aca="false">_xlfn.NORM.DIST(H19,$E$146,$E$147,1)</f>
        <v>0.0102945350321489</v>
      </c>
    </row>
    <row r="20" customFormat="false" ht="12.8" hidden="false" customHeight="false" outlineLevel="0" collapsed="false">
      <c r="A20" s="0" t="n">
        <f aca="false">'Исходные данные'!A20</f>
        <v>0.198562</v>
      </c>
      <c r="B20" s="0" t="n">
        <f aca="false">'Исходные данные'!B20</f>
        <v>8.93471</v>
      </c>
      <c r="H20" s="0" t="n">
        <f aca="false">H19+6*$E$147/149</f>
        <v>-0.155725649942591</v>
      </c>
      <c r="I20" s="0" t="n">
        <f aca="false">_xlfn.NORM.DIST(H20,$E$146,$E$147,0)</f>
        <v>0.101068491056948</v>
      </c>
      <c r="J20" s="0" t="n">
        <f aca="false">_xlfn.NORM.DIST(H20,$E$146,$E$147,1)</f>
        <v>0.0114479332915339</v>
      </c>
    </row>
    <row r="21" customFormat="false" ht="12.8" hidden="false" customHeight="false" outlineLevel="0" collapsed="false">
      <c r="A21" s="0" t="n">
        <f aca="false">'Исходные данные'!A21</f>
        <v>0.709845</v>
      </c>
      <c r="B21" s="0" t="n">
        <f aca="false">'Исходные данные'!B21</f>
        <v>9.64455</v>
      </c>
      <c r="H21" s="0" t="n">
        <f aca="false">H20+6*$E$147/149</f>
        <v>-0.143779697105849</v>
      </c>
      <c r="I21" s="0" t="n">
        <f aca="false">_xlfn.NORM.DIST(H21,$E$146,$E$147,0)</f>
        <v>0.110675792224668</v>
      </c>
      <c r="J21" s="0" t="n">
        <f aca="false">_xlfn.NORM.DIST(H21,$E$146,$E$147,1)</f>
        <v>0.0127119793200219</v>
      </c>
    </row>
    <row r="22" customFormat="false" ht="12.8" hidden="false" customHeight="false" outlineLevel="0" collapsed="false">
      <c r="A22" s="0" t="n">
        <f aca="false">'Исходные данные'!A22</f>
        <v>0.817932</v>
      </c>
      <c r="B22" s="0" t="n">
        <f aca="false">'Исходные данные'!B22</f>
        <v>10.4625</v>
      </c>
      <c r="H22" s="0" t="n">
        <f aca="false">H21+6*$E$147/149</f>
        <v>-0.131833744269107</v>
      </c>
      <c r="I22" s="0" t="n">
        <f aca="false">_xlfn.NORM.DIST(H22,$E$146,$E$147,0)</f>
        <v>0.120999971317265</v>
      </c>
      <c r="J22" s="0" t="n">
        <f aca="false">_xlfn.NORM.DIST(H22,$E$146,$E$147,1)</f>
        <v>0.0140950435545095</v>
      </c>
    </row>
    <row r="23" customFormat="false" ht="12.8" hidden="false" customHeight="false" outlineLevel="0" collapsed="false">
      <c r="A23" s="0" t="n">
        <f aca="false">'Исходные данные'!A23</f>
        <v>0.0212862</v>
      </c>
      <c r="B23" s="0" t="n">
        <f aca="false">'Исходные данные'!B23</f>
        <v>10.4838</v>
      </c>
      <c r="H23" s="0" t="n">
        <f aca="false">H22+6*$E$147/149</f>
        <v>-0.119887791432365</v>
      </c>
      <c r="I23" s="0" t="n">
        <f aca="false">_xlfn.NORM.DIST(H23,$E$146,$E$147,0)</f>
        <v>0.132072885332294</v>
      </c>
      <c r="J23" s="0" t="n">
        <f aca="false">_xlfn.NORM.DIST(H23,$E$146,$E$147,1)</f>
        <v>0.015605880786081</v>
      </c>
    </row>
    <row r="24" customFormat="false" ht="12.8" hidden="false" customHeight="false" outlineLevel="0" collapsed="false">
      <c r="A24" s="0" t="n">
        <f aca="false">'Исходные данные'!A24</f>
        <v>0.944932</v>
      </c>
      <c r="B24" s="0" t="n">
        <f aca="false">'Исходные данные'!B24</f>
        <v>11.4287</v>
      </c>
      <c r="H24" s="0" t="n">
        <f aca="false">H23+6*$E$147/149</f>
        <v>-0.107941838595623</v>
      </c>
      <c r="I24" s="0" t="n">
        <f aca="false">_xlfn.NORM.DIST(H24,$E$146,$E$147,0)</f>
        <v>0.14392552905905</v>
      </c>
      <c r="J24" s="0" t="n">
        <f aca="false">_xlfn.NORM.DIST(H24,$E$146,$E$147,1)</f>
        <v>0.0172536214968506</v>
      </c>
    </row>
    <row r="25" customFormat="false" ht="12.8" hidden="false" customHeight="false" outlineLevel="0" collapsed="false">
      <c r="A25" s="0" t="n">
        <f aca="false">'Исходные данные'!A25</f>
        <v>0.371683</v>
      </c>
      <c r="B25" s="0" t="n">
        <f aca="false">'Исходные данные'!B25</f>
        <v>11.8004</v>
      </c>
      <c r="H25" s="0" t="n">
        <f aca="false">H24+6*$E$147/149</f>
        <v>-0.0959958857588805</v>
      </c>
      <c r="I25" s="0" t="n">
        <f aca="false">_xlfn.NORM.DIST(H25,$E$146,$E$147,0)</f>
        <v>0.156587746378562</v>
      </c>
      <c r="J25" s="0" t="n">
        <f aca="false">_xlfn.NORM.DIST(H25,$E$146,$E$147,1)</f>
        <v>0.0190477598527123</v>
      </c>
    </row>
    <row r="26" customFormat="false" ht="12.8" hidden="false" customHeight="false" outlineLevel="0" collapsed="false">
      <c r="A26" s="0" t="n">
        <f aca="false">'Исходные данные'!A26</f>
        <v>0.878309</v>
      </c>
      <c r="B26" s="0" t="n">
        <f aca="false">'Исходные данные'!B26</f>
        <v>12.6787</v>
      </c>
      <c r="H26" s="0" t="n">
        <f aca="false">H25+6*$E$147/149</f>
        <v>-0.0840499329221385</v>
      </c>
      <c r="I26" s="0" t="n">
        <f aca="false">_xlfn.NORM.DIST(H26,$E$146,$E$147,0)</f>
        <v>0.170087925151218</v>
      </c>
      <c r="J26" s="0" t="n">
        <f aca="false">_xlfn.NORM.DIST(H26,$E$146,$E$147,1)</f>
        <v>0.0209981381478028</v>
      </c>
    </row>
    <row r="27" customFormat="false" ht="12.8" hidden="false" customHeight="false" outlineLevel="0" collapsed="false">
      <c r="A27" s="0" t="n">
        <f aca="false">'Исходные данные'!A27</f>
        <v>0.602046</v>
      </c>
      <c r="B27" s="0" t="n">
        <f aca="false">'Исходные данные'!B27</f>
        <v>13.2807</v>
      </c>
      <c r="H27" s="0" t="n">
        <f aca="false">H26+6*$E$147/149</f>
        <v>-0.0721039800853965</v>
      </c>
      <c r="I27" s="0" t="n">
        <f aca="false">_xlfn.NORM.DIST(H27,$E$146,$E$147,0)</f>
        <v>0.184452677314642</v>
      </c>
      <c r="J27" s="0" t="n">
        <f aca="false">_xlfn.NORM.DIST(H27,$E$146,$E$147,1)</f>
        <v>0.0231149275139959</v>
      </c>
    </row>
    <row r="28" customFormat="false" ht="12.8" hidden="false" customHeight="false" outlineLevel="0" collapsed="false">
      <c r="A28" s="0" t="n">
        <f aca="false">'Исходные данные'!A28</f>
        <v>0.820565</v>
      </c>
      <c r="B28" s="0" t="n">
        <f aca="false">'Исходные данные'!B28</f>
        <v>14.1013</v>
      </c>
      <c r="H28" s="0" t="n">
        <f aca="false">H27+6*$E$147/149</f>
        <v>-0.0601580272486545</v>
      </c>
      <c r="I28" s="0" t="n">
        <f aca="false">_xlfn.NORM.DIST(H28,$E$146,$E$147,0)</f>
        <v>0.199706506133366</v>
      </c>
      <c r="J28" s="0" t="n">
        <f aca="false">_xlfn.NORM.DIST(H28,$E$146,$E$147,1)</f>
        <v>0.0254086047300249</v>
      </c>
    </row>
    <row r="29" customFormat="false" ht="12.8" hidden="false" customHeight="false" outlineLevel="0" collapsed="false">
      <c r="A29" s="0" t="n">
        <f aca="false">'Исходные данные'!A29</f>
        <v>0.101819</v>
      </c>
      <c r="B29" s="0" t="n">
        <f aca="false">'Исходные данные'!B29</f>
        <v>14.2031</v>
      </c>
      <c r="H29" s="0" t="n">
        <f aca="false">H28+6*$E$147/149</f>
        <v>-0.0482120744119125</v>
      </c>
      <c r="I29" s="0" t="n">
        <f aca="false">_xlfn.NORM.DIST(H29,$E$146,$E$147,0)</f>
        <v>0.215871462862534</v>
      </c>
      <c r="J29" s="0" t="n">
        <f aca="false">_xlfn.NORM.DIST(H29,$E$146,$E$147,1)</f>
        <v>0.027889924989946</v>
      </c>
    </row>
    <row r="30" customFormat="false" ht="12.8" hidden="false" customHeight="false" outlineLevel="0" collapsed="false">
      <c r="A30" s="0" t="n">
        <f aca="false">'Исходные данные'!A30</f>
        <v>0.820174</v>
      </c>
      <c r="B30" s="0" t="n">
        <f aca="false">'Исходные данные'!B30</f>
        <v>15.0233</v>
      </c>
      <c r="H30" s="0" t="n">
        <f aca="false">H29+6*$E$147/149</f>
        <v>-0.0362661215751705</v>
      </c>
      <c r="I30" s="0" t="n">
        <f aca="false">_xlfn.NORM.DIST(H30,$E$146,$E$147,0)</f>
        <v>0.232966795405724</v>
      </c>
      <c r="J30" s="0" t="n">
        <f aca="false">_xlfn.NORM.DIST(H30,$E$146,$E$147,1)</f>
        <v>0.0305698905195777</v>
      </c>
    </row>
    <row r="31" customFormat="false" ht="12.8" hidden="false" customHeight="false" outlineLevel="0" collapsed="false">
      <c r="A31" s="0" t="n">
        <f aca="false">'Исходные данные'!A31</f>
        <v>0.286249</v>
      </c>
      <c r="B31" s="0" t="n">
        <f aca="false">'Исходные данные'!B31</f>
        <v>15.3095</v>
      </c>
      <c r="H31" s="0" t="n">
        <f aca="false">H30+6*$E$147/149</f>
        <v>-0.0243201687384284</v>
      </c>
      <c r="I31" s="0" t="n">
        <f aca="false">_xlfn.NORM.DIST(H31,$E$146,$E$147,0)</f>
        <v>0.251008591856795</v>
      </c>
      <c r="J31" s="0" t="n">
        <f aca="false">_xlfn.NORM.DIST(H31,$E$146,$E$147,1)</f>
        <v>0.033459714962239</v>
      </c>
    </row>
    <row r="32" customFormat="false" ht="12.8" hidden="false" customHeight="false" outlineLevel="0" collapsed="false">
      <c r="A32" s="0" t="n">
        <f aca="false">'Исходные данные'!A32</f>
        <v>0.993986</v>
      </c>
      <c r="B32" s="0" t="n">
        <f aca="false">'Исходные данные'!B32</f>
        <v>16.3035</v>
      </c>
      <c r="H32" s="0" t="n">
        <f aca="false">H31+6*$E$147/149</f>
        <v>-0.0123742159016864</v>
      </c>
      <c r="I32" s="0" t="n">
        <f aca="false">_xlfn.NORM.DIST(H32,$E$146,$E$147,0)</f>
        <v>0.270009422112178</v>
      </c>
      <c r="J32" s="0" t="n">
        <f aca="false">_xlfn.NORM.DIST(H32,$E$146,$E$147,1)</f>
        <v>0.0365707834914148</v>
      </c>
    </row>
    <row r="33" customFormat="false" ht="12.8" hidden="false" customHeight="false" outlineLevel="0" collapsed="false">
      <c r="A33" s="0" t="n">
        <f aca="false">'Исходные данные'!A33</f>
        <v>0.20081</v>
      </c>
      <c r="B33" s="0" t="n">
        <f aca="false">'Исходные данные'!B33</f>
        <v>16.5043</v>
      </c>
      <c r="H33" s="0" t="n">
        <f aca="false">H32+6*$E$147/149</f>
        <v>-0.000428263064944392</v>
      </c>
      <c r="I33" s="0" t="n">
        <f aca="false">_xlfn.NORM.DIST(H33,$E$146,$E$147,0)</f>
        <v>0.289977981017656</v>
      </c>
      <c r="J33" s="0" t="n">
        <f aca="false">_xlfn.NORM.DIST(H33,$E$146,$E$147,1)</f>
        <v>0.0399146086477262</v>
      </c>
    </row>
    <row r="34" customFormat="false" ht="12.8" hidden="false" customHeight="false" outlineLevel="0" collapsed="false">
      <c r="A34" s="0" t="n">
        <f aca="false">'Исходные данные'!A34</f>
        <v>0.722026</v>
      </c>
      <c r="B34" s="0" t="n">
        <f aca="false">'Исходные данные'!B34</f>
        <v>17.2264</v>
      </c>
      <c r="H34" s="0" t="n">
        <f aca="false">H33+6*$E$147/149</f>
        <v>0.0115176897717976</v>
      </c>
      <c r="I34" s="0" t="n">
        <f aca="false">_xlfn.NORM.DIST(H34,$E$146,$E$147,0)</f>
        <v>0.310918736766609</v>
      </c>
      <c r="J34" s="0" t="n">
        <f aca="false">_xlfn.NORM.DIST(H34,$E$146,$E$147,1)</f>
        <v>0.0435027819404974</v>
      </c>
    </row>
    <row r="35" customFormat="false" ht="12.8" hidden="false" customHeight="false" outlineLevel="0" collapsed="false">
      <c r="A35" s="0" t="n">
        <f aca="false">'Исходные данные'!A35</f>
        <v>0.553061</v>
      </c>
      <c r="B35" s="0" t="n">
        <f aca="false">'Исходные данные'!B35</f>
        <v>17.7794</v>
      </c>
      <c r="H35" s="0" t="n">
        <f aca="false">H34+6*$E$147/149</f>
        <v>0.0234636426085397</v>
      </c>
      <c r="I35" s="0" t="n">
        <f aca="false">_xlfn.NORM.DIST(H35,$E$146,$E$147,0)</f>
        <v>0.33283158848934</v>
      </c>
      <c r="J35" s="0" t="n">
        <f aca="false">_xlfn.NORM.DIST(H35,$E$146,$E$147,1)</f>
        <v>0.0473469212999818</v>
      </c>
    </row>
    <row r="36" customFormat="false" ht="12.8" hidden="false" customHeight="false" outlineLevel="0" collapsed="false">
      <c r="A36" s="0" t="n">
        <f aca="false">'Исходные данные'!A36</f>
        <v>0.423688</v>
      </c>
      <c r="B36" s="0" t="n">
        <f aca="false">'Исходные данные'!B36</f>
        <v>18.2031</v>
      </c>
      <c r="H36" s="0" t="n">
        <f aca="false">H35+6*$E$147/149</f>
        <v>0.0354095954452817</v>
      </c>
      <c r="I36" s="0" t="n">
        <f aca="false">_xlfn.NORM.DIST(H36,$E$146,$E$147,0)</f>
        <v>0.35571153715961</v>
      </c>
      <c r="J36" s="0" t="n">
        <f aca="false">_xlfn.NORM.DIST(H36,$E$146,$E$147,1)</f>
        <v>0.0514586145145217</v>
      </c>
    </row>
    <row r="37" customFormat="false" ht="12.8" hidden="false" customHeight="false" outlineLevel="0" collapsed="false">
      <c r="A37" s="0" t="n">
        <f aca="false">'Исходные данные'!A37</f>
        <v>0.935531</v>
      </c>
      <c r="B37" s="0" t="n">
        <f aca="false">'Исходные данные'!B37</f>
        <v>19.1386</v>
      </c>
      <c r="H37" s="0" t="n">
        <f aca="false">H36+6*$E$147/149</f>
        <v>0.0473555482820237</v>
      </c>
      <c r="I37" s="0" t="n">
        <f aca="false">_xlfn.NORM.DIST(H37,$E$146,$E$147,0)</f>
        <v>0.379548374089466</v>
      </c>
      <c r="J37" s="0" t="n">
        <f aca="false">_xlfn.NORM.DIST(H37,$E$146,$E$147,1)</f>
        <v>0.0558493588371178</v>
      </c>
    </row>
    <row r="38" customFormat="false" ht="12.8" hidden="false" customHeight="false" outlineLevel="0" collapsed="false">
      <c r="A38" s="0" t="n">
        <f aca="false">'Исходные данные'!A38</f>
        <v>0.722042</v>
      </c>
      <c r="B38" s="0" t="n">
        <f aca="false">'Исходные данные'!B38</f>
        <v>19.8607</v>
      </c>
      <c r="H38" s="0" t="n">
        <f aca="false">H37+6*$E$147/149</f>
        <v>0.0593015011187657</v>
      </c>
      <c r="I38" s="0" t="n">
        <f aca="false">_xlfn.NORM.DIST(H38,$E$146,$E$147,0)</f>
        <v>0.404326391381654</v>
      </c>
      <c r="J38" s="0" t="n">
        <f aca="false">_xlfn.NORM.DIST(H38,$E$146,$E$147,1)</f>
        <v>0.0605304969975418</v>
      </c>
    </row>
    <row r="39" customFormat="false" ht="12.8" hidden="false" customHeight="false" outlineLevel="0" collapsed="false">
      <c r="A39" s="0" t="n">
        <f aca="false">'Исходные данные'!A39</f>
        <v>0.917558</v>
      </c>
      <c r="B39" s="0" t="n">
        <f aca="false">'Исходные данные'!B39</f>
        <v>20.7782</v>
      </c>
      <c r="H39" s="0" t="n">
        <f aca="false">H38+6*$E$147/149</f>
        <v>0.0712474539555077</v>
      </c>
      <c r="I39" s="0" t="n">
        <f aca="false">_xlfn.NORM.DIST(H39,$E$146,$E$147,0)</f>
        <v>0.430024118755427</v>
      </c>
      <c r="J39" s="0" t="n">
        <f aca="false">_xlfn.NORM.DIST(H39,$E$146,$E$147,1)</f>
        <v>0.0655131499086534</v>
      </c>
    </row>
    <row r="40" customFormat="false" ht="12.8" hidden="false" customHeight="false" outlineLevel="0" collapsed="false">
      <c r="A40" s="0" t="n">
        <f aca="false">'Исходные данные'!A40</f>
        <v>0.623181</v>
      </c>
      <c r="B40" s="0" t="n">
        <f aca="false">'Исходные данные'!B40</f>
        <v>21.4014</v>
      </c>
      <c r="H40" s="0" t="n">
        <f aca="false">H39+6*$E$147/149</f>
        <v>0.0831934067922498</v>
      </c>
      <c r="I40" s="0" t="n">
        <f aca="false">_xlfn.NORM.DIST(H40,$E$146,$E$147,0)</f>
        <v>0.456614091152256</v>
      </c>
      <c r="J40" s="0" t="n">
        <f aca="false">_xlfn.NORM.DIST(H40,$E$146,$E$147,1)</f>
        <v>0.0708081464083349</v>
      </c>
    </row>
    <row r="41" customFormat="false" ht="12.8" hidden="false" customHeight="false" outlineLevel="0" collapsed="false">
      <c r="A41" s="0" t="n">
        <f aca="false">'Исходные данные'!A41</f>
        <v>0.854547</v>
      </c>
      <c r="B41" s="0" t="n">
        <f aca="false">'Исходные данные'!B41</f>
        <v>22.256</v>
      </c>
      <c r="H41" s="0" t="n">
        <f aca="false">H40+6*$E$147/149</f>
        <v>0.0951393596289918</v>
      </c>
      <c r="I41" s="0" t="n">
        <f aca="false">_xlfn.NORM.DIST(H41,$E$146,$E$147,0)</f>
        <v>0.484062651459068</v>
      </c>
      <c r="J41" s="0" t="n">
        <f aca="false">_xlfn.NORM.DIST(H41,$E$146,$E$147,1)</f>
        <v>0.0764259504307461</v>
      </c>
    </row>
    <row r="42" customFormat="false" ht="12.8" hidden="false" customHeight="false" outlineLevel="0" collapsed="false">
      <c r="A42" s="0" t="n">
        <f aca="false">'Исходные данные'!A42</f>
        <v>0.183041</v>
      </c>
      <c r="B42" s="0" t="n">
        <f aca="false">'Исходные данные'!B42</f>
        <v>22.439</v>
      </c>
      <c r="H42" s="0" t="n">
        <f aca="false">H41+6*$E$147/149</f>
        <v>0.107085312465734</v>
      </c>
      <c r="I42" s="0" t="n">
        <f aca="false">_xlfn.NORM.DIST(H42,$E$146,$E$147,0)</f>
        <v>0.512329792555316</v>
      </c>
      <c r="J42" s="0" t="n">
        <f aca="false">_xlfn.NORM.DIST(H42,$E$146,$E$147,1)</f>
        <v>0.0823765860516989</v>
      </c>
    </row>
    <row r="43" customFormat="false" ht="12.8" hidden="false" customHeight="false" outlineLevel="0" collapsed="false">
      <c r="A43" s="0" t="n">
        <f aca="false">'Исходные данные'!A43</f>
        <v>0.688096</v>
      </c>
      <c r="B43" s="0" t="n">
        <f aca="false">'Исходные данные'!B43</f>
        <v>23.1271</v>
      </c>
      <c r="H43" s="0" t="n">
        <f aca="false">H42+6*$E$147/149</f>
        <v>0.119031265302476</v>
      </c>
      <c r="I43" s="0" t="n">
        <f aca="false">_xlfn.NORM.DIST(H43,$E$146,$E$147,0)</f>
        <v>0.54136904269437</v>
      </c>
      <c r="J43" s="0" t="n">
        <f aca="false">_xlfn.NORM.DIST(H43,$E$146,$E$147,1)</f>
        <v>0.0886695609020945</v>
      </c>
    </row>
    <row r="44" customFormat="false" ht="12.8" hidden="false" customHeight="false" outlineLevel="0" collapsed="false">
      <c r="A44" s="0" t="n">
        <f aca="false">'Исходные данные'!A44</f>
        <v>0.0572111</v>
      </c>
      <c r="B44" s="0" t="n">
        <f aca="false">'Исходные данные'!B44</f>
        <v>23.1843</v>
      </c>
      <c r="H44" s="0" t="n">
        <f aca="false">H43+6*$E$147/149</f>
        <v>0.130977218139218</v>
      </c>
      <c r="I44" s="0" t="n">
        <f aca="false">_xlfn.NORM.DIST(H44,$E$146,$E$147,0)</f>
        <v>0.57112739796834</v>
      </c>
      <c r="J44" s="0" t="n">
        <f aca="false">_xlfn.NORM.DIST(H44,$E$146,$E$147,1)</f>
        <v>0.0953137884897788</v>
      </c>
    </row>
    <row r="45" customFormat="false" ht="12.8" hidden="false" customHeight="false" outlineLevel="0" collapsed="false">
      <c r="A45" s="0" t="n">
        <f aca="false">'Исходные данные'!A45</f>
        <v>0.775714</v>
      </c>
      <c r="B45" s="0" t="n">
        <f aca="false">'Исходные данные'!B45</f>
        <v>23.96</v>
      </c>
      <c r="H45" s="0" t="n">
        <f aca="false">H44+6*$E$147/149</f>
        <v>0.14292317097596</v>
      </c>
      <c r="I45" s="0" t="n">
        <f aca="false">_xlfn.NORM.DIST(H45,$E$146,$E$147,0)</f>
        <v>0.601545305278372</v>
      </c>
      <c r="J45" s="0" t="n">
        <f aca="false">_xlfn.NORM.DIST(H45,$E$146,$E$147,1)</f>
        <v>0.10231751001307</v>
      </c>
    </row>
    <row r="46" customFormat="false" ht="12.8" hidden="false" customHeight="false" outlineLevel="0" collapsed="false">
      <c r="A46" s="0" t="n">
        <f aca="false">'Исходные данные'!A46</f>
        <v>0.701783</v>
      </c>
      <c r="B46" s="0" t="n">
        <f aca="false">'Исходные данные'!B46</f>
        <v>24.6618</v>
      </c>
      <c r="H46" s="0" t="n">
        <f aca="false">H45+6*$E$147/149</f>
        <v>0.154869123812702</v>
      </c>
      <c r="I46" s="0" t="n">
        <f aca="false">_xlfn.NORM.DIST(H46,$E$146,$E$147,0)</f>
        <v>0.632556698840757</v>
      </c>
      <c r="J46" s="0" t="n">
        <f aca="false">_xlfn.NORM.DIST(H46,$E$146,$E$147,1)</f>
        <v>0.109688216287818</v>
      </c>
    </row>
    <row r="47" customFormat="false" ht="12.8" hidden="false" customHeight="false" outlineLevel="0" collapsed="false">
      <c r="A47" s="0" t="n">
        <f aca="false">'Исходные данные'!A47</f>
        <v>0.159357</v>
      </c>
      <c r="B47" s="0" t="n">
        <f aca="false">'Исходные данные'!B47</f>
        <v>24.8212</v>
      </c>
      <c r="H47" s="0" t="n">
        <f aca="false">H46+6*$E$147/149</f>
        <v>0.166815076649444</v>
      </c>
      <c r="I47" s="0" t="n">
        <f aca="false">_xlfn.NORM.DIST(H47,$E$146,$E$147,0)</f>
        <v>0.664089092805001</v>
      </c>
      <c r="J47" s="0" t="n">
        <f aca="false">_xlfn.NORM.DIST(H47,$E$146,$E$147,1)</f>
        <v>0.117432570443396</v>
      </c>
    </row>
    <row r="48" customFormat="false" ht="12.8" hidden="false" customHeight="false" outlineLevel="0" collapsed="false">
      <c r="A48" s="0" t="n">
        <f aca="false">'Исходные данные'!A48</f>
        <v>0.0995737</v>
      </c>
      <c r="B48" s="0" t="n">
        <f aca="false">'Исходные данные'!B48</f>
        <v>24.9208</v>
      </c>
      <c r="H48" s="0" t="n">
        <f aca="false">H47+6*$E$147/149</f>
        <v>0.178761029486186</v>
      </c>
      <c r="I48" s="0" t="n">
        <f aca="false">_xlfn.NORM.DIST(H48,$E$146,$E$147,0)</f>
        <v>0.69606373204659</v>
      </c>
      <c r="J48" s="0" t="n">
        <f aca="false">_xlfn.NORM.DIST(H48,$E$146,$E$147,1)</f>
        <v>0.125556332070808</v>
      </c>
    </row>
    <row r="49" customFormat="false" ht="12.8" hidden="false" customHeight="false" outlineLevel="0" collapsed="false">
      <c r="A49" s="0" t="n">
        <f aca="false">'Исходные данные'!A49</f>
        <v>0.560905</v>
      </c>
      <c r="B49" s="0" t="n">
        <f aca="false">'Исходные данные'!B49</f>
        <v>25.4817</v>
      </c>
      <c r="H49" s="0" t="n">
        <f aca="false">H48+6*$E$147/149</f>
        <v>0.190706982322928</v>
      </c>
      <c r="I49" s="0" t="n">
        <f aca="false">_xlfn.NORM.DIST(H49,$E$146,$E$147,0)</f>
        <v>0.728395802629117</v>
      </c>
      <c r="J49" s="0" t="n">
        <f aca="false">_xlfn.NORM.DIST(H49,$E$146,$E$147,1)</f>
        <v>0.13406428352736</v>
      </c>
    </row>
    <row r="50" customFormat="false" ht="12.8" hidden="false" customHeight="false" outlineLevel="0" collapsed="false">
      <c r="A50" s="0" t="n">
        <f aca="false">'Исходные данные'!A50</f>
        <v>0.347255</v>
      </c>
      <c r="B50" s="0" t="n">
        <f aca="false">'Исходные данные'!B50</f>
        <v>25.8289</v>
      </c>
      <c r="H50" s="0" t="n">
        <f aca="false">H49+6*$E$147/149</f>
        <v>0.20265293515967</v>
      </c>
      <c r="I50" s="0" t="n">
        <f aca="false">_xlfn.NORM.DIST(H50,$E$146,$E$147,0)</f>
        <v>0.760994702813192</v>
      </c>
      <c r="J50" s="0" t="n">
        <f aca="false">_xlfn.NORM.DIST(H50,$E$146,$E$147,1)</f>
        <v>0.142960159116611</v>
      </c>
    </row>
    <row r="51" customFormat="false" ht="12.8" hidden="false" customHeight="false" outlineLevel="0" collapsed="false">
      <c r="A51" s="0" t="n">
        <f aca="false">'Исходные данные'!A51</f>
        <v>0.539348</v>
      </c>
      <c r="B51" s="0" t="n">
        <f aca="false">'Исходные данные'!B51</f>
        <v>26.3683</v>
      </c>
      <c r="H51" s="0" t="n">
        <f aca="false">H50+6*$E$147/149</f>
        <v>0.214598887996412</v>
      </c>
      <c r="I51" s="0" t="n">
        <f aca="false">_xlfn.NORM.DIST(H51,$E$146,$E$147,0)</f>
        <v>0.793764374830036</v>
      </c>
      <c r="J51" s="0" t="n">
        <f aca="false">_xlfn.NORM.DIST(H51,$E$146,$E$147,1)</f>
        <v>0.152246577868837</v>
      </c>
    </row>
    <row r="52" customFormat="false" ht="12.8" hidden="false" customHeight="false" outlineLevel="0" collapsed="false">
      <c r="A52" s="0" t="n">
        <f aca="false">'Исходные данные'!A52</f>
        <v>0.801053</v>
      </c>
      <c r="B52" s="0" t="n">
        <f aca="false">'Исходные данные'!B52</f>
        <v>27.1693</v>
      </c>
      <c r="H52" s="0" t="n">
        <f aca="false">H51+6*$E$147/149</f>
        <v>0.226544840833154</v>
      </c>
      <c r="I52" s="0" t="n">
        <f aca="false">_xlfn.NORM.DIST(H52,$E$146,$E$147,0)</f>
        <v>0.826603696943454</v>
      </c>
      <c r="J52" s="0" t="n">
        <f aca="false">_xlfn.NORM.DIST(H52,$E$146,$E$147,1)</f>
        <v>0.161924980645789</v>
      </c>
    </row>
    <row r="53" customFormat="false" ht="12.8" hidden="false" customHeight="false" outlineLevel="0" collapsed="false">
      <c r="A53" s="0" t="n">
        <f aca="false">'Исходные данные'!A53</f>
        <v>0.861269</v>
      </c>
      <c r="B53" s="0" t="n">
        <f aca="false">'Исходные данные'!B53</f>
        <v>28.0306</v>
      </c>
      <c r="H53" s="0" t="n">
        <f aca="false">H52+6*$E$147/149</f>
        <v>0.238490793669896</v>
      </c>
      <c r="I53" s="0" t="n">
        <f aca="false">_xlfn.NORM.DIST(H53,$E$146,$E$147,0)</f>
        <v>0.859406934603807</v>
      </c>
      <c r="J53" s="0" t="n">
        <f aca="false">_xlfn.NORM.DIST(H53,$E$146,$E$147,1)</f>
        <v>0.171995572283503</v>
      </c>
    </row>
    <row r="54" customFormat="false" ht="12.8" hidden="false" customHeight="false" outlineLevel="0" collapsed="false">
      <c r="A54" s="0" t="n">
        <f aca="false">'Исходные данные'!A54</f>
        <v>0.63994</v>
      </c>
      <c r="B54" s="0" t="n">
        <f aca="false">'Исходные данные'!B54</f>
        <v>28.6705</v>
      </c>
      <c r="H54" s="0" t="n">
        <f aca="false">H53+6*$E$147/149</f>
        <v>0.250436746506638</v>
      </c>
      <c r="I54" s="0" t="n">
        <f aca="false">_xlfn.NORM.DIST(H54,$E$146,$E$147,0)</f>
        <v>0.89206424876117</v>
      </c>
      <c r="J54" s="0" t="n">
        <f aca="false">_xlfn.NORM.DIST(H54,$E$146,$E$147,1)</f>
        <v>0.182457269468295</v>
      </c>
    </row>
    <row r="55" customFormat="false" ht="12.8" hidden="false" customHeight="false" outlineLevel="0" collapsed="false">
      <c r="A55" s="0" t="n">
        <f aca="false">'Исходные данные'!A55</f>
        <v>0.81064</v>
      </c>
      <c r="B55" s="0" t="n">
        <f aca="false">'Исходные данные'!B55</f>
        <v>29.4812</v>
      </c>
      <c r="H55" s="0" t="n">
        <f aca="false">H54+6*$E$147/149</f>
        <v>0.26238269934338</v>
      </c>
      <c r="I55" s="0" t="n">
        <f aca="false">_xlfn.NORM.DIST(H55,$E$146,$E$147,0)</f>
        <v>0.924462258662287</v>
      </c>
      <c r="J55" s="0" t="n">
        <f aca="false">_xlfn.NORM.DIST(H55,$E$146,$E$147,1)</f>
        <v>0.193307655013484</v>
      </c>
    </row>
    <row r="56" customFormat="false" ht="12.8" hidden="false" customHeight="false" outlineLevel="0" collapsed="false">
      <c r="A56" s="0" t="n">
        <f aca="false">'Исходные данные'!A56</f>
        <v>0.38527</v>
      </c>
      <c r="B56" s="0" t="n">
        <f aca="false">'Исходные данные'!B56</f>
        <v>29.8664</v>
      </c>
      <c r="H56" s="0" t="n">
        <f aca="false">H55+6*$E$147/149</f>
        <v>0.274328652180122</v>
      </c>
      <c r="I56" s="0" t="n">
        <f aca="false">_xlfn.NORM.DIST(H56,$E$146,$E$147,0)</f>
        <v>0.956484655718012</v>
      </c>
      <c r="J56" s="0" t="n">
        <f aca="false">_xlfn.NORM.DIST(H56,$E$146,$E$147,1)</f>
        <v>0.204542939168082</v>
      </c>
    </row>
    <row r="57" customFormat="false" ht="12.8" hidden="false" customHeight="false" outlineLevel="0" collapsed="false">
      <c r="A57" s="0" t="n">
        <f aca="false">'Исходные данные'!A57</f>
        <v>0.738261</v>
      </c>
      <c r="B57" s="0" t="n">
        <f aca="false">'Исходные данные'!B57</f>
        <v>30.6047</v>
      </c>
      <c r="H57" s="0" t="n">
        <f aca="false">H56+6*$E$147/149</f>
        <v>0.286274605016864</v>
      </c>
      <c r="I57" s="0" t="n">
        <f aca="false">_xlfn.NORM.DIST(H57,$E$146,$E$147,0)</f>
        <v>0.988012864305813</v>
      </c>
      <c r="J57" s="0" t="n">
        <f aca="false">_xlfn.NORM.DIST(H57,$E$146,$E$147,1)</f>
        <v>0.216157928543515</v>
      </c>
    </row>
    <row r="58" customFormat="false" ht="12.8" hidden="false" customHeight="false" outlineLevel="0" collapsed="false">
      <c r="A58" s="0" t="n">
        <f aca="false">'Исходные данные'!A58</f>
        <v>0.321726</v>
      </c>
      <c r="B58" s="0" t="n">
        <f aca="false">'Исходные данные'!B58</f>
        <v>30.9264</v>
      </c>
      <c r="H58" s="0" t="n">
        <f aca="false">H57+6*$E$147/149</f>
        <v>0.298220557853606</v>
      </c>
      <c r="I58" s="0" t="n">
        <f aca="false">_xlfn.NORM.DIST(H58,$E$146,$E$147,0)</f>
        <v>1.01892674467689</v>
      </c>
      <c r="J58" s="0" t="n">
        <f aca="false">_xlfn.NORM.DIST(H58,$E$146,$E$147,1)</f>
        <v>0.228146003190899</v>
      </c>
    </row>
    <row r="59" customFormat="false" ht="12.8" hidden="false" customHeight="false" outlineLevel="0" collapsed="false">
      <c r="A59" s="0" t="n">
        <f aca="false">'Исходные данные'!A59</f>
        <v>0.754328</v>
      </c>
      <c r="B59" s="0" t="n">
        <f aca="false">'Исходные данные'!B59</f>
        <v>31.6807</v>
      </c>
      <c r="H59" s="0" t="n">
        <f aca="false">H58+6*$E$147/149</f>
        <v>0.310166510690348</v>
      </c>
      <c r="I59" s="0" t="n">
        <f aca="false">_xlfn.NORM.DIST(H59,$E$146,$E$147,0)</f>
        <v>1.04910533248094</v>
      </c>
      <c r="J59" s="0" t="n">
        <f aca="false">_xlfn.NORM.DIST(H59,$E$146,$E$147,1)</f>
        <v>0.240499102299702</v>
      </c>
    </row>
    <row r="60" customFormat="false" ht="12.8" hidden="false" customHeight="false" outlineLevel="0" collapsed="false">
      <c r="A60" s="0" t="n">
        <f aca="false">'Исходные данные'!A60</f>
        <v>0.989224</v>
      </c>
      <c r="B60" s="0" t="n">
        <f aca="false">'Исходные данные'!B60</f>
        <v>32.67</v>
      </c>
      <c r="H60" s="0" t="n">
        <f aca="false">H59+6*$E$147/149</f>
        <v>0.32211246352709</v>
      </c>
      <c r="I60" s="0" t="n">
        <f aca="false">_xlfn.NORM.DIST(H60,$E$146,$E$147,0)</f>
        <v>1.07842760881443</v>
      </c>
      <c r="J60" s="0" t="n">
        <f aca="false">_xlfn.NORM.DIST(H60,$E$146,$E$147,1)</f>
        <v>0.253207718919396</v>
      </c>
    </row>
    <row r="61" customFormat="false" ht="12.8" hidden="false" customHeight="false" outlineLevel="0" collapsed="false">
      <c r="A61" s="0" t="n">
        <f aca="false">'Исходные данные'!A61</f>
        <v>0.801059</v>
      </c>
      <c r="B61" s="0" t="n">
        <f aca="false">'Исходные данные'!B61</f>
        <v>33.471</v>
      </c>
      <c r="H61" s="0" t="n">
        <f aca="false">H60+6*$E$147/149</f>
        <v>0.334058416363832</v>
      </c>
      <c r="I61" s="0" t="n">
        <f aca="false">_xlfn.NORM.DIST(H61,$E$146,$E$147,0)</f>
        <v>1.10677329415161</v>
      </c>
      <c r="J61" s="0" t="n">
        <f aca="false">_xlfn.NORM.DIST(H61,$E$146,$E$147,1)</f>
        <v>0.266260904029585</v>
      </c>
    </row>
    <row r="62" customFormat="false" ht="12.8" hidden="false" customHeight="false" outlineLevel="0" collapsed="false">
      <c r="A62" s="0" t="n">
        <f aca="false">'Исходные данные'!A62</f>
        <v>0.826419</v>
      </c>
      <c r="B62" s="0" t="n">
        <f aca="false">'Исходные данные'!B62</f>
        <v>34.2974</v>
      </c>
      <c r="H62" s="0" t="n">
        <f aca="false">H61+6*$E$147/149</f>
        <v>0.346004369200574</v>
      </c>
      <c r="I62" s="0" t="n">
        <f aca="false">_xlfn.NORM.DIST(H62,$E$146,$E$147,0)</f>
        <v>1.13402365904046</v>
      </c>
      <c r="J62" s="0" t="n">
        <f aca="false">_xlfn.NORM.DIST(H62,$E$146,$E$147,1)</f>
        <v>0.279646280201835</v>
      </c>
    </row>
    <row r="63" customFormat="false" ht="12.8" hidden="false" customHeight="false" outlineLevel="0" collapsed="false">
      <c r="A63" s="0" t="n">
        <f aca="false">'Исходные данные'!A63</f>
        <v>0.673352</v>
      </c>
      <c r="B63" s="0" t="n">
        <f aca="false">'Исходные данные'!B63</f>
        <v>34.9708</v>
      </c>
      <c r="H63" s="0" t="n">
        <f aca="false">H62+6*$E$147/149</f>
        <v>0.357950322037316</v>
      </c>
      <c r="I63" s="0" t="n">
        <f aca="false">_xlfn.NORM.DIST(H63,$E$146,$E$147,0)</f>
        <v>1.16006234404888</v>
      </c>
      <c r="J63" s="0" t="n">
        <f aca="false">_xlfn.NORM.DIST(H63,$E$146,$E$147,1)</f>
        <v>0.293350065008937</v>
      </c>
    </row>
    <row r="64" customFormat="false" ht="12.8" hidden="false" customHeight="false" outlineLevel="0" collapsed="false">
      <c r="A64" s="0" t="n">
        <f aca="false">'Исходные данные'!A64</f>
        <v>0.996031</v>
      </c>
      <c r="B64" s="0" t="n">
        <f aca="false">'Исходные данные'!B64</f>
        <v>35.9668</v>
      </c>
      <c r="H64" s="0" t="n">
        <f aca="false">H63+6*$E$147/149</f>
        <v>0.369896274874059</v>
      </c>
      <c r="I64" s="0" t="n">
        <f aca="false">_xlfn.NORM.DIST(H64,$E$146,$E$147,0)</f>
        <v>1.18477618113628</v>
      </c>
      <c r="J64" s="0" t="n">
        <f aca="false">_xlfn.NORM.DIST(H64,$E$146,$E$147,1)</f>
        <v>0.307357104245638</v>
      </c>
    </row>
    <row r="65" customFormat="false" ht="12.8" hidden="false" customHeight="false" outlineLevel="0" collapsed="false">
      <c r="A65" s="0" t="n">
        <f aca="false">'Исходные данные'!A65</f>
        <v>0.176261</v>
      </c>
      <c r="B65" s="0" t="n">
        <f aca="false">'Исходные данные'!B65</f>
        <v>36.1431</v>
      </c>
      <c r="H65" s="0" t="n">
        <f aca="false">H64+6*$E$147/149</f>
        <v>0.381842227710801</v>
      </c>
      <c r="I65" s="0" t="n">
        <f aca="false">_xlfn.NORM.DIST(H65,$E$146,$E$147,0)</f>
        <v>1.20805600841059</v>
      </c>
      <c r="J65" s="0" t="n">
        <f aca="false">_xlfn.NORM.DIST(H65,$E$146,$E$147,1)</f>
        <v>0.32165091493001</v>
      </c>
    </row>
    <row r="66" customFormat="false" ht="12.8" hidden="false" customHeight="false" outlineLevel="0" collapsed="false">
      <c r="A66" s="0" t="n">
        <f aca="false">'Исходные данные'!A66</f>
        <v>0.193632</v>
      </c>
      <c r="B66" s="0" t="n">
        <f aca="false">'Исходные данные'!B66</f>
        <v>36.3367</v>
      </c>
      <c r="H66" s="0" t="n">
        <f aca="false">H65+6*$E$147/149</f>
        <v>0.393788180547543</v>
      </c>
      <c r="I66" s="0" t="n">
        <f aca="false">_xlfn.NORM.DIST(H66,$E$146,$E$147,0)</f>
        <v>1.22979747011548</v>
      </c>
      <c r="J66" s="0" t="n">
        <f aca="false">_xlfn.NORM.DIST(H66,$E$146,$E$147,1)</f>
        <v>0.336213737957794</v>
      </c>
    </row>
    <row r="67" customFormat="false" ht="12.8" hidden="false" customHeight="false" outlineLevel="0" collapsed="false">
      <c r="A67" s="0" t="n">
        <f aca="false">'Исходные данные'!A67</f>
        <v>0.0213317</v>
      </c>
      <c r="B67" s="0" t="n">
        <f aca="false">'Исходные данные'!B67</f>
        <v>36.3581</v>
      </c>
      <c r="H67" s="0" t="n">
        <f aca="false">H66+6*$E$147/149</f>
        <v>0.405734133384285</v>
      </c>
      <c r="I67" s="0" t="n">
        <f aca="false">_xlfn.NORM.DIST(H67,$E$146,$E$147,0)</f>
        <v>1.24990179368132</v>
      </c>
      <c r="J67" s="0" t="n">
        <f aca="false">_xlfn.NORM.DIST(H67,$E$146,$E$147,1)</f>
        <v>0.351026600184455</v>
      </c>
    </row>
    <row r="68" customFormat="false" ht="12.8" hidden="false" customHeight="false" outlineLevel="0" collapsed="false">
      <c r="A68" s="0" t="n">
        <f aca="false">'Исходные данные'!A68</f>
        <v>0.21521</v>
      </c>
      <c r="B68" s="0" t="n">
        <f aca="false">'Исходные данные'!B68</f>
        <v>36.5733</v>
      </c>
      <c r="H68" s="0" t="n">
        <f aca="false">H67+6*$E$147/149</f>
        <v>0.417680086221027</v>
      </c>
      <c r="I68" s="0" t="n">
        <f aca="false">_xlfn.NORM.DIST(H68,$E$146,$E$147,0)</f>
        <v>1.26827653576866</v>
      </c>
      <c r="J68" s="0" t="n">
        <f aca="false">_xlfn.NORM.DIST(H68,$E$146,$E$147,1)</f>
        <v>0.366069385612595</v>
      </c>
    </row>
    <row r="69" customFormat="false" ht="12.8" hidden="false" customHeight="false" outlineLevel="0" collapsed="false">
      <c r="A69" s="0" t="n">
        <f aca="false">'Исходные данные'!A69</f>
        <v>0.142185</v>
      </c>
      <c r="B69" s="0" t="n">
        <f aca="false">'Исходные данные'!B69</f>
        <v>36.7155</v>
      </c>
      <c r="H69" s="0" t="n">
        <f aca="false">H68+6*$E$147/149</f>
        <v>0.429626039057769</v>
      </c>
      <c r="I69" s="0" t="n">
        <f aca="false">_xlfn.NORM.DIST(H69,$E$146,$E$147,0)</f>
        <v>1.28483628943627</v>
      </c>
      <c r="J69" s="0" t="n">
        <f aca="false">_xlfn.NORM.DIST(H69,$E$146,$E$147,1)</f>
        <v>0.381320915267069</v>
      </c>
    </row>
    <row r="70" customFormat="false" ht="12.8" hidden="false" customHeight="false" outlineLevel="0" collapsed="false">
      <c r="A70" s="0" t="n">
        <f aca="false">'Исходные данные'!A70</f>
        <v>0.601422</v>
      </c>
      <c r="B70" s="0" t="n">
        <f aca="false">'Исходные данные'!B70</f>
        <v>37.3169</v>
      </c>
      <c r="H70" s="0" t="n">
        <f aca="false">H69+6*$E$147/149</f>
        <v>0.441571991894511</v>
      </c>
      <c r="I70" s="0" t="n">
        <f aca="false">_xlfn.NORM.DIST(H70,$E$146,$E$147,0)</f>
        <v>1.29950334487428</v>
      </c>
      <c r="J70" s="0" t="n">
        <f aca="false">_xlfn.NORM.DIST(H70,$E$146,$E$147,1)</f>
        <v>0.396759035247876</v>
      </c>
    </row>
    <row r="71" customFormat="false" ht="12.8" hidden="false" customHeight="false" outlineLevel="0" collapsed="false">
      <c r="A71" s="0" t="n">
        <f aca="false">'Исходные данные'!A71</f>
        <v>0.150841</v>
      </c>
      <c r="B71" s="0" t="n">
        <f aca="false">'Исходные данные'!B71</f>
        <v>37.4677</v>
      </c>
      <c r="H71" s="0" t="n">
        <f aca="false">H70+6*$E$147/149</f>
        <v>0.453517944731253</v>
      </c>
      <c r="I71" s="0" t="n">
        <f aca="false">_xlfn.NORM.DIST(H71,$E$146,$E$147,0)</f>
        <v>1.3122082965564</v>
      </c>
      <c r="J71" s="0" t="n">
        <f aca="false">_xlfn.NORM.DIST(H71,$E$146,$E$147,1)</f>
        <v>0.412360712362977</v>
      </c>
    </row>
    <row r="72" customFormat="false" ht="12.8" hidden="false" customHeight="false" outlineLevel="0" collapsed="false">
      <c r="A72" s="0" t="n">
        <f aca="false">'Исходные данные'!A72</f>
        <v>0.979656</v>
      </c>
      <c r="B72" s="0" t="n">
        <f aca="false">'Исходные данные'!B72</f>
        <v>38.4474</v>
      </c>
      <c r="H72" s="0" t="n">
        <f aca="false">H71+6*$E$147/149</f>
        <v>0.465463897567995</v>
      </c>
      <c r="I72" s="0" t="n">
        <f aca="false">_xlfn.NORM.DIST(H72,$E$146,$E$147,0)</f>
        <v>1.32289059017687</v>
      </c>
      <c r="J72" s="0" t="n">
        <f aca="false">_xlfn.NORM.DIST(H72,$E$146,$E$147,1)</f>
        <v>0.428102136660778</v>
      </c>
    </row>
    <row r="73" customFormat="false" ht="12.8" hidden="false" customHeight="false" outlineLevel="0" collapsed="false">
      <c r="A73" s="0" t="n">
        <f aca="false">'Исходные данные'!A73</f>
        <v>0.0679385</v>
      </c>
      <c r="B73" s="0" t="n">
        <f aca="false">'Исходные данные'!B73</f>
        <v>38.5153</v>
      </c>
      <c r="H73" s="0" t="n">
        <f aca="false">H72+6*$E$147/149</f>
        <v>0.477409850404737</v>
      </c>
      <c r="I73" s="0" t="n">
        <f aca="false">_xlfn.NORM.DIST(H73,$E$146,$E$147,0)</f>
        <v>1.33149900334312</v>
      </c>
      <c r="J73" s="0" t="n">
        <f aca="false">_xlfn.NORM.DIST(H73,$E$146,$E$147,1)</f>
        <v>0.443958830106299</v>
      </c>
    </row>
    <row r="74" customFormat="false" ht="12.8" hidden="false" customHeight="false" outlineLevel="0" collapsed="false">
      <c r="A74" s="0" t="n">
        <f aca="false">'Исходные данные'!A74</f>
        <v>0.62101</v>
      </c>
      <c r="B74" s="0" t="n">
        <f aca="false">'Исходные данные'!B74</f>
        <v>39.1363</v>
      </c>
      <c r="H74" s="0" t="n">
        <f aca="false">H73+6*$E$147/149</f>
        <v>0.489355803241479</v>
      </c>
      <c r="I74" s="0" t="n">
        <f aca="false">_xlfn.NORM.DIST(H74,$E$146,$E$147,0)</f>
        <v>1.33799205468567</v>
      </c>
      <c r="J74" s="0" t="n">
        <f aca="false">_xlfn.NORM.DIST(H74,$E$146,$E$147,1)</f>
        <v>0.459905760577052</v>
      </c>
    </row>
    <row r="75" customFormat="false" ht="12.8" hidden="false" customHeight="false" outlineLevel="0" collapsed="false">
      <c r="A75" s="0" t="n">
        <f aca="false">'Исходные данные'!A75</f>
        <v>0.17941</v>
      </c>
      <c r="B75" s="0" t="n">
        <f aca="false">'Исходные данные'!B75</f>
        <v>39.3157</v>
      </c>
      <c r="H75" s="0" t="n">
        <f aca="false">H74+6*$E$147/149</f>
        <v>0.501301756078221</v>
      </c>
      <c r="I75" s="0" t="n">
        <f aca="false">_xlfn.NORM.DIST(H75,$E$146,$E$147,0)</f>
        <v>1.34233833681357</v>
      </c>
      <c r="J75" s="0" t="n">
        <f aca="false">_xlfn.NORM.DIST(H75,$E$146,$E$147,1)</f>
        <v>0.47591746029541</v>
      </c>
    </row>
    <row r="76" customFormat="false" ht="12.8" hidden="false" customHeight="false" outlineLevel="0" collapsed="false">
      <c r="A76" s="0" t="n">
        <f aca="false">'Исходные данные'!A76</f>
        <v>0.752879</v>
      </c>
      <c r="B76" s="0" t="n">
        <f aca="false">'Исходные данные'!B76</f>
        <v>40.0686</v>
      </c>
      <c r="H76" s="0" t="n">
        <f aca="false">H75+6*$E$147/149</f>
        <v>0.513247708914963</v>
      </c>
      <c r="I76" s="0" t="n">
        <f aca="false">_xlfn.NORM.DIST(H76,$E$146,$E$147,0)</f>
        <v>1.3445167693758</v>
      </c>
      <c r="J76" s="0" t="n">
        <f aca="false">_xlfn.NORM.DIST(H76,$E$146,$E$147,1)</f>
        <v>0.49196814776453</v>
      </c>
    </row>
    <row r="77" customFormat="false" ht="12.8" hidden="false" customHeight="false" outlineLevel="0" collapsed="false">
      <c r="A77" s="0" t="n">
        <f aca="false">'Исходные данные'!A77</f>
        <v>0.813206</v>
      </c>
      <c r="B77" s="0" t="n">
        <f aca="false">'Исходные данные'!B77</f>
        <v>40.8818</v>
      </c>
      <c r="H77" s="0" t="n">
        <f aca="false">H76+6*$E$147/149</f>
        <v>0.525193661751705</v>
      </c>
      <c r="I77" s="0" t="n">
        <f aca="false">_xlfn.NORM.DIST(H77,$E$146,$E$147,0)</f>
        <v>1.3445167693758</v>
      </c>
      <c r="J77" s="0" t="n">
        <f aca="false">_xlfn.NORM.DIST(H77,$E$146,$E$147,1)</f>
        <v>0.508031852235472</v>
      </c>
    </row>
    <row r="78" customFormat="false" ht="12.8" hidden="false" customHeight="false" outlineLevel="0" collapsed="false">
      <c r="A78" s="0" t="n">
        <f aca="false">'Исходные данные'!A78</f>
        <v>0.933824</v>
      </c>
      <c r="B78" s="0" t="n">
        <f aca="false">'Исходные данные'!B78</f>
        <v>41.8156</v>
      </c>
      <c r="H78" s="0" t="n">
        <f aca="false">H77+6*$E$147/149</f>
        <v>0.537139614588447</v>
      </c>
      <c r="I78" s="0" t="n">
        <f aca="false">_xlfn.NORM.DIST(H78,$E$146,$E$147,0)</f>
        <v>1.34233833681357</v>
      </c>
      <c r="J78" s="0" t="n">
        <f aca="false">_xlfn.NORM.DIST(H78,$E$146,$E$147,1)</f>
        <v>0.524082539704592</v>
      </c>
    </row>
    <row r="79" customFormat="false" ht="12.8" hidden="false" customHeight="false" outlineLevel="0" collapsed="false">
      <c r="A79" s="0" t="n">
        <f aca="false">'Исходные данные'!A79</f>
        <v>0.0860388</v>
      </c>
      <c r="B79" s="0" t="n">
        <f aca="false">'Исходные данные'!B79</f>
        <v>41.9017</v>
      </c>
      <c r="H79" s="0" t="n">
        <f aca="false">H78+6*$E$147/149</f>
        <v>0.549085567425189</v>
      </c>
      <c r="I79" s="0" t="n">
        <f aca="false">_xlfn.NORM.DIST(H79,$E$146,$E$147,0)</f>
        <v>1.33799205468567</v>
      </c>
      <c r="J79" s="0" t="n">
        <f aca="false">_xlfn.NORM.DIST(H79,$E$146,$E$147,1)</f>
        <v>0.54009423942295</v>
      </c>
    </row>
    <row r="80" customFormat="false" ht="12.8" hidden="false" customHeight="false" outlineLevel="0" collapsed="false">
      <c r="A80" s="0" t="n">
        <f aca="false">'Исходные данные'!A80</f>
        <v>0.51345</v>
      </c>
      <c r="B80" s="0" t="n">
        <f aca="false">'Исходные данные'!B80</f>
        <v>42.4151</v>
      </c>
      <c r="H80" s="0" t="n">
        <f aca="false">H79+6*$E$147/149</f>
        <v>0.561031520261931</v>
      </c>
      <c r="I80" s="0" t="n">
        <f aca="false">_xlfn.NORM.DIST(H80,$E$146,$E$147,0)</f>
        <v>1.33149900334311</v>
      </c>
      <c r="J80" s="0" t="n">
        <f aca="false">_xlfn.NORM.DIST(H80,$E$146,$E$147,1)</f>
        <v>0.556041169893703</v>
      </c>
    </row>
    <row r="81" customFormat="false" ht="12.8" hidden="false" customHeight="false" outlineLevel="0" collapsed="false">
      <c r="A81" s="0" t="n">
        <f aca="false">'Исходные данные'!A81</f>
        <v>0.942365</v>
      </c>
      <c r="B81" s="0" t="n">
        <f aca="false">'Исходные данные'!B81</f>
        <v>43.3575</v>
      </c>
      <c r="H81" s="0" t="n">
        <f aca="false">H80+6*$E$147/149</f>
        <v>0.572977473098673</v>
      </c>
      <c r="I81" s="0" t="n">
        <f aca="false">_xlfn.NORM.DIST(H81,$E$146,$E$147,0)</f>
        <v>1.32289059017687</v>
      </c>
      <c r="J81" s="0" t="n">
        <f aca="false">_xlfn.NORM.DIST(H81,$E$146,$E$147,1)</f>
        <v>0.571897863339224</v>
      </c>
    </row>
    <row r="82" customFormat="false" ht="12.8" hidden="false" customHeight="false" outlineLevel="0" collapsed="false">
      <c r="A82" s="0" t="n">
        <f aca="false">'Исходные данные'!A82</f>
        <v>0.170963</v>
      </c>
      <c r="B82" s="0" t="n">
        <f aca="false">'Исходные данные'!B82</f>
        <v>43.5285</v>
      </c>
      <c r="H82" s="0" t="n">
        <f aca="false">H81+6*$E$147/149</f>
        <v>0.584923425935415</v>
      </c>
      <c r="I82" s="0" t="n">
        <f aca="false">_xlfn.NORM.DIST(H82,$E$146,$E$147,0)</f>
        <v>1.3122082965564</v>
      </c>
      <c r="J82" s="0" t="n">
        <f aca="false">_xlfn.NORM.DIST(H82,$E$146,$E$147,1)</f>
        <v>0.587639287637025</v>
      </c>
    </row>
    <row r="83" customFormat="false" ht="12.8" hidden="false" customHeight="false" outlineLevel="0" collapsed="false">
      <c r="A83" s="0" t="n">
        <f aca="false">'Исходные данные'!A83</f>
        <v>0.475305</v>
      </c>
      <c r="B83" s="0" t="n">
        <f aca="false">'Исходные данные'!B83</f>
        <v>44.0038</v>
      </c>
      <c r="H83" s="0" t="n">
        <f aca="false">H82+6*$E$147/149</f>
        <v>0.596869378772157</v>
      </c>
      <c r="I83" s="0" t="n">
        <f aca="false">_xlfn.NORM.DIST(H83,$E$146,$E$147,0)</f>
        <v>1.29950334487427</v>
      </c>
      <c r="J83" s="0" t="n">
        <f aca="false">_xlfn.NORM.DIST(H83,$E$146,$E$147,1)</f>
        <v>0.603240964752126</v>
      </c>
    </row>
    <row r="84" customFormat="false" ht="12.8" hidden="false" customHeight="false" outlineLevel="0" collapsed="false">
      <c r="A84" s="0" t="n">
        <f aca="false">'Исходные данные'!A84</f>
        <v>0.234191</v>
      </c>
      <c r="B84" s="0" t="n">
        <f aca="false">'Исходные данные'!B84</f>
        <v>44.238</v>
      </c>
      <c r="H84" s="0" t="n">
        <f aca="false">H83+6*$E$147/149</f>
        <v>0.608815331608899</v>
      </c>
      <c r="I84" s="0" t="n">
        <f aca="false">_xlfn.NORM.DIST(H84,$E$146,$E$147,0)</f>
        <v>1.28483628943627</v>
      </c>
      <c r="J84" s="0" t="n">
        <f aca="false">_xlfn.NORM.DIST(H84,$E$146,$E$147,1)</f>
        <v>0.618679084732933</v>
      </c>
    </row>
    <row r="85" customFormat="false" ht="12.8" hidden="false" customHeight="false" outlineLevel="0" collapsed="false">
      <c r="A85" s="0" t="n">
        <f aca="false">'Исходные данные'!A85</f>
        <v>0.646537</v>
      </c>
      <c r="B85" s="0" t="n">
        <f aca="false">'Исходные данные'!B85</f>
        <v>44.8845</v>
      </c>
      <c r="H85" s="0" t="n">
        <f aca="false">H84+6*$E$147/149</f>
        <v>0.620761284445642</v>
      </c>
      <c r="I85" s="0" t="n">
        <f aca="false">_xlfn.NORM.DIST(H85,$E$146,$E$147,0)</f>
        <v>1.26827653576866</v>
      </c>
      <c r="J85" s="0" t="n">
        <f aca="false">_xlfn.NORM.DIST(H85,$E$146,$E$147,1)</f>
        <v>0.633930614387407</v>
      </c>
    </row>
    <row r="86" customFormat="false" ht="12.8" hidden="false" customHeight="false" outlineLevel="0" collapsed="false">
      <c r="A86" s="0" t="n">
        <f aca="false">'Исходные данные'!A86</f>
        <v>0.683904</v>
      </c>
      <c r="B86" s="0" t="n">
        <f aca="false">'Исходные данные'!B86</f>
        <v>45.5684</v>
      </c>
      <c r="H86" s="0" t="n">
        <f aca="false">H85+6*$E$147/149</f>
        <v>0.632707237282384</v>
      </c>
      <c r="I86" s="0" t="n">
        <f aca="false">_xlfn.NORM.DIST(H86,$E$146,$E$147,0)</f>
        <v>1.24990179368132</v>
      </c>
      <c r="J86" s="0" t="n">
        <f aca="false">_xlfn.NORM.DIST(H86,$E$146,$E$147,1)</f>
        <v>0.648973399815547</v>
      </c>
    </row>
    <row r="87" customFormat="false" ht="12.8" hidden="false" customHeight="false" outlineLevel="0" collapsed="false">
      <c r="A87" s="0" t="n">
        <f aca="false">'Исходные данные'!A87</f>
        <v>0.663593</v>
      </c>
      <c r="B87" s="0" t="n">
        <f aca="false">'Исходные данные'!B87</f>
        <v>46.232</v>
      </c>
      <c r="H87" s="0" t="n">
        <f aca="false">H86+6*$E$147/149</f>
        <v>0.644653190119126</v>
      </c>
      <c r="I87" s="0" t="n">
        <f aca="false">_xlfn.NORM.DIST(H87,$E$146,$E$147,0)</f>
        <v>1.22979747011548</v>
      </c>
      <c r="J87" s="0" t="n">
        <f aca="false">_xlfn.NORM.DIST(H87,$E$146,$E$147,1)</f>
        <v>0.663786262042208</v>
      </c>
    </row>
    <row r="88" customFormat="false" ht="12.8" hidden="false" customHeight="false" outlineLevel="0" collapsed="false">
      <c r="A88" s="0" t="n">
        <f aca="false">'Исходные данные'!A88</f>
        <v>0.180721</v>
      </c>
      <c r="B88" s="0" t="n">
        <f aca="false">'Исходные данные'!B88</f>
        <v>46.4127</v>
      </c>
      <c r="H88" s="0" t="n">
        <f aca="false">H87+6*$E$147/149</f>
        <v>0.656599142955868</v>
      </c>
      <c r="I88" s="0" t="n">
        <f aca="false">_xlfn.NORM.DIST(H88,$E$146,$E$147,0)</f>
        <v>1.20805600841058</v>
      </c>
      <c r="J88" s="0" t="n">
        <f aca="false">_xlfn.NORM.DIST(H88,$E$146,$E$147,1)</f>
        <v>0.678349085069992</v>
      </c>
    </row>
    <row r="89" customFormat="false" ht="12.8" hidden="false" customHeight="false" outlineLevel="0" collapsed="false">
      <c r="A89" s="0" t="n">
        <f aca="false">'Исходные данные'!A89</f>
        <v>0.345177</v>
      </c>
      <c r="B89" s="0" t="n">
        <f aca="false">'Исходные данные'!B89</f>
        <v>46.7579</v>
      </c>
      <c r="H89" s="0" t="n">
        <f aca="false">H88+6*$E$147/149</f>
        <v>0.66854509579261</v>
      </c>
      <c r="I89" s="0" t="n">
        <f aca="false">_xlfn.NORM.DIST(H89,$E$146,$E$147,0)</f>
        <v>1.18477618113628</v>
      </c>
      <c r="J89" s="0" t="n">
        <f aca="false">_xlfn.NORM.DIST(H89,$E$146,$E$147,1)</f>
        <v>0.692642895754364</v>
      </c>
    </row>
    <row r="90" customFormat="false" ht="12.8" hidden="false" customHeight="false" outlineLevel="0" collapsed="false">
      <c r="A90" s="0" t="n">
        <f aca="false">'Исходные данные'!A90</f>
        <v>0.321016</v>
      </c>
      <c r="B90" s="0" t="n">
        <f aca="false">'Исходные данные'!B90</f>
        <v>47.0789</v>
      </c>
      <c r="H90" s="0" t="n">
        <f aca="false">H89+6*$E$147/149</f>
        <v>0.680491048629352</v>
      </c>
      <c r="I90" s="0" t="n">
        <f aca="false">_xlfn.NORM.DIST(H90,$E$146,$E$147,0)</f>
        <v>1.16006234404888</v>
      </c>
      <c r="J90" s="0" t="n">
        <f aca="false">_xlfn.NORM.DIST(H90,$E$146,$E$147,1)</f>
        <v>0.706649934991065</v>
      </c>
    </row>
    <row r="91" customFormat="false" ht="12.8" hidden="false" customHeight="false" outlineLevel="0" collapsed="false">
      <c r="A91" s="0" t="n">
        <f aca="false">'Исходные данные'!A91</f>
        <v>0.869046</v>
      </c>
      <c r="B91" s="0" t="n">
        <f aca="false">'Исходные данные'!B91</f>
        <v>47.9479</v>
      </c>
      <c r="H91" s="0" t="n">
        <f aca="false">H90+6*$E$147/149</f>
        <v>0.692437001466094</v>
      </c>
      <c r="I91" s="0" t="n">
        <f aca="false">_xlfn.NORM.DIST(H91,$E$146,$E$147,0)</f>
        <v>1.13402365904046</v>
      </c>
      <c r="J91" s="0" t="n">
        <f aca="false">_xlfn.NORM.DIST(H91,$E$146,$E$147,1)</f>
        <v>0.720353719798167</v>
      </c>
    </row>
    <row r="92" customFormat="false" ht="12.8" hidden="false" customHeight="false" outlineLevel="0" collapsed="false">
      <c r="A92" s="0" t="n">
        <f aca="false">'Исходные данные'!A92</f>
        <v>0.251554</v>
      </c>
      <c r="B92" s="0" t="n">
        <f aca="false">'Исходные данные'!B92</f>
        <v>48.1995</v>
      </c>
      <c r="H92" s="0" t="n">
        <f aca="false">H91+6*$E$147/149</f>
        <v>0.704382954302836</v>
      </c>
      <c r="I92" s="0" t="n">
        <f aca="false">_xlfn.NORM.DIST(H92,$E$146,$E$147,0)</f>
        <v>1.1067732941516</v>
      </c>
      <c r="J92" s="0" t="n">
        <f aca="false">_xlfn.NORM.DIST(H92,$E$146,$E$147,1)</f>
        <v>0.733739095970417</v>
      </c>
    </row>
    <row r="93" customFormat="false" ht="12.8" hidden="false" customHeight="false" outlineLevel="0" collapsed="false">
      <c r="A93" s="0" t="n">
        <f aca="false">'Исходные данные'!A93</f>
        <v>0.893495</v>
      </c>
      <c r="B93" s="0" t="n">
        <f aca="false">'Исходные данные'!B93</f>
        <v>49.093</v>
      </c>
      <c r="H93" s="0" t="n">
        <f aca="false">H92+6*$E$147/149</f>
        <v>0.716328907139578</v>
      </c>
      <c r="I93" s="0" t="n">
        <f aca="false">_xlfn.NORM.DIST(H93,$E$146,$E$147,0)</f>
        <v>1.07842760881443</v>
      </c>
      <c r="J93" s="0" t="n">
        <f aca="false">_xlfn.NORM.DIST(H93,$E$146,$E$147,1)</f>
        <v>0.746792281080606</v>
      </c>
    </row>
    <row r="94" customFormat="false" ht="12.8" hidden="false" customHeight="false" outlineLevel="0" collapsed="false">
      <c r="A94" s="0" t="n">
        <f aca="false">'Исходные данные'!A94</f>
        <v>0.157976</v>
      </c>
      <c r="B94" s="0" t="n">
        <f aca="false">'Исходные данные'!B94</f>
        <v>49.251</v>
      </c>
      <c r="H94" s="0" t="n">
        <f aca="false">H93+6*$E$147/149</f>
        <v>0.72827485997632</v>
      </c>
      <c r="I94" s="0" t="n">
        <f aca="false">_xlfn.NORM.DIST(H94,$E$146,$E$147,0)</f>
        <v>1.04910533248094</v>
      </c>
      <c r="J94" s="0" t="n">
        <f aca="false">_xlfn.NORM.DIST(H94,$E$146,$E$147,1)</f>
        <v>0.759500897700299</v>
      </c>
    </row>
    <row r="95" customFormat="false" ht="12.8" hidden="false" customHeight="false" outlineLevel="0" collapsed="false">
      <c r="A95" s="0" t="n">
        <f aca="false">'Исходные данные'!A95</f>
        <v>0.204799</v>
      </c>
      <c r="B95" s="0" t="n">
        <f aca="false">'Исходные данные'!B95</f>
        <v>49.4558</v>
      </c>
      <c r="H95" s="0" t="n">
        <f aca="false">H94+6*$E$147/149</f>
        <v>0.740220812813062</v>
      </c>
      <c r="I95" s="0" t="n">
        <f aca="false">_xlfn.NORM.DIST(H95,$E$146,$E$147,0)</f>
        <v>1.01892674467689</v>
      </c>
      <c r="J95" s="0" t="n">
        <f aca="false">_xlfn.NORM.DIST(H95,$E$146,$E$147,1)</f>
        <v>0.771853996809102</v>
      </c>
    </row>
    <row r="96" customFormat="false" ht="17.35" hidden="false" customHeight="false" outlineLevel="0" collapsed="false">
      <c r="A96" s="0" t="n">
        <f aca="false">'Исходные данные'!A96</f>
        <v>0.208352</v>
      </c>
      <c r="B96" s="0" t="n">
        <f aca="false">'Исходные данные'!B96</f>
        <v>49.6641</v>
      </c>
      <c r="D96" s="3"/>
      <c r="E96" s="8"/>
      <c r="H96" s="0" t="n">
        <f aca="false">H95+6*$E$147/149</f>
        <v>0.752166765649804</v>
      </c>
      <c r="I96" s="0" t="n">
        <f aca="false">_xlfn.NORM.DIST(H96,$E$146,$E$147,0)</f>
        <v>0.988012864305809</v>
      </c>
      <c r="J96" s="0" t="n">
        <f aca="false">_xlfn.NORM.DIST(H96,$E$146,$E$147,1)</f>
        <v>0.783842071456487</v>
      </c>
    </row>
    <row r="97" customFormat="false" ht="17.35" hidden="false" customHeight="false" outlineLevel="0" collapsed="false">
      <c r="A97" s="0" t="n">
        <f aca="false">'Исходные данные'!A97</f>
        <v>0.546034</v>
      </c>
      <c r="B97" s="0" t="n">
        <f aca="false">'Исходные данные'!B97</f>
        <v>50.2102</v>
      </c>
      <c r="D97" s="3"/>
      <c r="E97" s="8"/>
      <c r="H97" s="0" t="n">
        <f aca="false">H96+6*$E$147/149</f>
        <v>0.764112718486546</v>
      </c>
      <c r="I97" s="0" t="n">
        <f aca="false">_xlfn.NORM.DIST(H97,$E$146,$E$147,0)</f>
        <v>0.956484655718007</v>
      </c>
      <c r="J97" s="0" t="n">
        <f aca="false">_xlfn.NORM.DIST(H97,$E$146,$E$147,1)</f>
        <v>0.79545706083192</v>
      </c>
    </row>
    <row r="98" customFormat="false" ht="12.8" hidden="false" customHeight="false" outlineLevel="0" collapsed="false">
      <c r="A98" s="0" t="n">
        <f aca="false">'Исходные данные'!A98</f>
        <v>0.883658</v>
      </c>
      <c r="B98" s="0" t="n">
        <f aca="false">'Исходные данные'!B98</f>
        <v>51.0938</v>
      </c>
      <c r="H98" s="0" t="n">
        <f aca="false">H97+6*$E$147/149</f>
        <v>0.776058671323288</v>
      </c>
      <c r="I98" s="0" t="n">
        <f aca="false">_xlfn.NORM.DIST(H98,$E$146,$E$147,0)</f>
        <v>0.924462258662282</v>
      </c>
      <c r="J98" s="0" t="n">
        <f aca="false">_xlfn.NORM.DIST(H98,$E$146,$E$147,1)</f>
        <v>0.806692344986517</v>
      </c>
    </row>
    <row r="99" customFormat="false" ht="12.8" hidden="false" customHeight="false" outlineLevel="0" collapsed="false">
      <c r="A99" s="0" t="n">
        <f aca="false">'Исходные данные'!A99</f>
        <v>0.286789</v>
      </c>
      <c r="B99" s="0" t="n">
        <f aca="false">'Исходные данные'!B99</f>
        <v>51.3806</v>
      </c>
      <c r="H99" s="0" t="n">
        <f aca="false">H98+6*$E$147/149</f>
        <v>0.78800462416003</v>
      </c>
      <c r="I99" s="0" t="n">
        <f aca="false">_xlfn.NORM.DIST(H99,$E$146,$E$147,0)</f>
        <v>0.892064248761166</v>
      </c>
      <c r="J99" s="0" t="n">
        <f aca="false">_xlfn.NORM.DIST(H99,$E$146,$E$147,1)</f>
        <v>0.817542730531707</v>
      </c>
    </row>
    <row r="100" customFormat="false" ht="12.8" hidden="false" customHeight="false" outlineLevel="0" collapsed="false">
      <c r="A100" s="0" t="n">
        <f aca="false">'Исходные данные'!A100</f>
        <v>0.24097</v>
      </c>
      <c r="B100" s="0" t="n">
        <f aca="false">'Исходные данные'!B100</f>
        <v>51.6216</v>
      </c>
      <c r="H100" s="0" t="n">
        <f aca="false">H99+6*$E$147/149</f>
        <v>0.799950576996772</v>
      </c>
      <c r="I100" s="0" t="n">
        <f aca="false">_xlfn.NORM.DIST(H100,$E$146,$E$147,0)</f>
        <v>0.859406934603803</v>
      </c>
      <c r="J100" s="0" t="n">
        <f aca="false">_xlfn.NORM.DIST(H100,$E$146,$E$147,1)</f>
        <v>0.828004427716498</v>
      </c>
    </row>
    <row r="101" customFormat="false" ht="17.35" hidden="false" customHeight="false" outlineLevel="0" collapsed="false">
      <c r="A101" s="0" t="n">
        <f aca="false">'Исходные данные'!A101</f>
        <v>0.0718273</v>
      </c>
      <c r="B101" s="0" t="n">
        <f aca="false">'Исходные данные'!B101</f>
        <v>51.6934</v>
      </c>
      <c r="F101" s="1"/>
      <c r="H101" s="0" t="n">
        <f aca="false">H100+6*$E$147/149</f>
        <v>0.811896529833514</v>
      </c>
      <c r="I101" s="0" t="n">
        <f aca="false">_xlfn.NORM.DIST(H101,$E$146,$E$147,0)</f>
        <v>0.82660369694345</v>
      </c>
      <c r="J101" s="0" t="n">
        <f aca="false">_xlfn.NORM.DIST(H101,$E$146,$E$147,1)</f>
        <v>0.838075019354213</v>
      </c>
    </row>
    <row r="102" customFormat="false" ht="12.8" hidden="false" customHeight="false" outlineLevel="0" collapsed="false">
      <c r="A102" s="0" t="n">
        <f aca="false">'Исходные данные'!A102</f>
        <v>0.192316</v>
      </c>
      <c r="B102" s="0" t="n">
        <f aca="false">'Исходные данные'!B102</f>
        <v>51.8857</v>
      </c>
      <c r="H102" s="0" t="n">
        <f aca="false">H101+6*$E$147/149</f>
        <v>0.823842482670256</v>
      </c>
      <c r="I102" s="0" t="n">
        <f aca="false">_xlfn.NORM.DIST(H102,$E$146,$E$147,0)</f>
        <v>0.793764374830032</v>
      </c>
      <c r="J102" s="0" t="n">
        <f aca="false">_xlfn.NORM.DIST(H102,$E$146,$E$147,1)</f>
        <v>0.847753422131164</v>
      </c>
    </row>
    <row r="103" customFormat="false" ht="12.8" hidden="false" customHeight="false" outlineLevel="0" collapsed="false">
      <c r="A103" s="0" t="n">
        <f aca="false">'Исходные данные'!A103</f>
        <v>0.681052</v>
      </c>
      <c r="B103" s="0" t="n">
        <f aca="false">'Исходные данные'!B103</f>
        <v>52.5668</v>
      </c>
      <c r="H103" s="0" t="n">
        <f aca="false">H102+6*$E$147/149</f>
        <v>0.835788435506998</v>
      </c>
      <c r="I103" s="0" t="n">
        <f aca="false">_xlfn.NORM.DIST(H103,$E$146,$E$147,0)</f>
        <v>0.760994702813188</v>
      </c>
      <c r="J103" s="0" t="n">
        <f aca="false">_xlfn.NORM.DIST(H103,$E$146,$E$147,1)</f>
        <v>0.85703984088339</v>
      </c>
    </row>
    <row r="104" customFormat="false" ht="12.8" hidden="false" customHeight="false" outlineLevel="0" collapsed="false">
      <c r="A104" s="0" t="n">
        <f aca="false">'Исходные данные'!A104</f>
        <v>0.441748</v>
      </c>
      <c r="B104" s="0" t="n">
        <f aca="false">'Исходные данные'!B104</f>
        <v>53.0085</v>
      </c>
      <c r="H104" s="0" t="n">
        <f aca="false">H103+6*$E$147/149</f>
        <v>0.84773438834374</v>
      </c>
      <c r="I104" s="0" t="n">
        <f aca="false">_xlfn.NORM.DIST(H104,$E$146,$E$147,0)</f>
        <v>0.728395802629113</v>
      </c>
      <c r="J104" s="0" t="n">
        <f aca="false">_xlfn.NORM.DIST(H104,$E$146,$E$147,1)</f>
        <v>0.865935716472641</v>
      </c>
    </row>
    <row r="105" customFormat="false" ht="12.8" hidden="false" customHeight="false" outlineLevel="0" collapsed="false">
      <c r="A105" s="0" t="n">
        <f aca="false">'Исходные данные'!A105</f>
        <v>0.848413</v>
      </c>
      <c r="B105" s="0" t="n">
        <f aca="false">'Исходные данные'!B105</f>
        <v>53.8569</v>
      </c>
      <c r="H105" s="0" t="n">
        <f aca="false">H104+6*$E$147/149</f>
        <v>0.859680341180482</v>
      </c>
      <c r="I105" s="0" t="n">
        <f aca="false">_xlfn.NORM.DIST(H105,$E$146,$E$147,0)</f>
        <v>0.696063732046586</v>
      </c>
      <c r="J105" s="0" t="n">
        <f aca="false">_xlfn.NORM.DIST(H105,$E$146,$E$147,1)</f>
        <v>0.874443667929194</v>
      </c>
    </row>
    <row r="106" customFormat="false" ht="12.8" hidden="false" customHeight="false" outlineLevel="0" collapsed="false">
      <c r="A106" s="0" t="n">
        <f aca="false">'Исходные данные'!A106</f>
        <v>0.996605</v>
      </c>
      <c r="B106" s="0" t="n">
        <f aca="false">'Исходные данные'!B106</f>
        <v>54.8535</v>
      </c>
      <c r="H106" s="0" t="n">
        <f aca="false">H105+6*$E$147/149</f>
        <v>0.871626294017225</v>
      </c>
      <c r="I106" s="0" t="n">
        <f aca="false">_xlfn.NORM.DIST(H106,$E$146,$E$147,0)</f>
        <v>0.664089092804996</v>
      </c>
      <c r="J106" s="0" t="n">
        <f aca="false">_xlfn.NORM.DIST(H106,$E$146,$E$147,1)</f>
        <v>0.882567429556605</v>
      </c>
    </row>
    <row r="107" customFormat="false" ht="12.8" hidden="false" customHeight="false" outlineLevel="0" collapsed="false">
      <c r="A107" s="0" t="n">
        <f aca="false">'Исходные данные'!A107</f>
        <v>0.0287397</v>
      </c>
      <c r="B107" s="0" t="n">
        <f aca="false">'Исходные данные'!B107</f>
        <v>54.8823</v>
      </c>
      <c r="H107" s="0" t="n">
        <f aca="false">H106+6*$E$147/149</f>
        <v>0.883572246853967</v>
      </c>
      <c r="I107" s="0" t="n">
        <f aca="false">_xlfn.NORM.DIST(H107,$E$146,$E$147,0)</f>
        <v>0.632556698840752</v>
      </c>
      <c r="J107" s="0" t="n">
        <f aca="false">_xlfn.NORM.DIST(H107,$E$146,$E$147,1)</f>
        <v>0.890311783712183</v>
      </c>
    </row>
    <row r="108" customFormat="false" ht="12.8" hidden="false" customHeight="false" outlineLevel="0" collapsed="false">
      <c r="A108" s="0" t="n">
        <f aca="false">'Исходные данные'!A108</f>
        <v>0.852422</v>
      </c>
      <c r="B108" s="0" t="n">
        <f aca="false">'Исходные данные'!B108</f>
        <v>55.7347</v>
      </c>
      <c r="H108" s="0" t="n">
        <f aca="false">H107+6*$E$147/149</f>
        <v>0.895518199690709</v>
      </c>
      <c r="I108" s="0" t="n">
        <f aca="false">_xlfn.NORM.DIST(H108,$E$146,$E$147,0)</f>
        <v>0.601545305278367</v>
      </c>
      <c r="J108" s="0" t="n">
        <f aca="false">_xlfn.NORM.DIST(H108,$E$146,$E$147,1)</f>
        <v>0.897682489986931</v>
      </c>
    </row>
    <row r="109" customFormat="false" ht="12.8" hidden="false" customHeight="false" outlineLevel="0" collapsed="false">
      <c r="A109" s="0" t="n">
        <f aca="false">'Исходные данные'!A109</f>
        <v>0.315115</v>
      </c>
      <c r="B109" s="0" t="n">
        <f aca="false">'Исходные данные'!B109</f>
        <v>56.0498</v>
      </c>
      <c r="H109" s="0" t="n">
        <f aca="false">H108+6*$E$147/149</f>
        <v>0.907464152527451</v>
      </c>
      <c r="I109" s="0" t="n">
        <f aca="false">_xlfn.NORM.DIST(H109,$E$146,$E$147,0)</f>
        <v>0.571127397968336</v>
      </c>
      <c r="J109" s="0" t="n">
        <f aca="false">_xlfn.NORM.DIST(H109,$E$146,$E$147,1)</f>
        <v>0.904686211510222</v>
      </c>
    </row>
    <row r="110" customFormat="false" ht="12.8" hidden="false" customHeight="false" outlineLevel="0" collapsed="false">
      <c r="A110" s="0" t="n">
        <f aca="false">'Исходные данные'!A110</f>
        <v>0.981869</v>
      </c>
      <c r="B110" s="0" t="n">
        <f aca="false">'Исходные данные'!B110</f>
        <v>57.0317</v>
      </c>
      <c r="H110" s="0" t="n">
        <f aca="false">H109+6*$E$147/149</f>
        <v>0.919410105364193</v>
      </c>
      <c r="I110" s="0" t="n">
        <f aca="false">_xlfn.NORM.DIST(H110,$E$146,$E$147,0)</f>
        <v>0.541369042694366</v>
      </c>
      <c r="J110" s="0" t="n">
        <f aca="false">_xlfn.NORM.DIST(H110,$E$146,$E$147,1)</f>
        <v>0.911330439097907</v>
      </c>
      <c r="K110" s="0" t="s">
        <v>4</v>
      </c>
    </row>
    <row r="111" customFormat="false" ht="12.8" hidden="false" customHeight="false" outlineLevel="0" collapsed="false">
      <c r="A111" s="0" t="n">
        <f aca="false">'Исходные данные'!A111</f>
        <v>0.356696</v>
      </c>
      <c r="B111" s="0" t="n">
        <f aca="false">'Исходные данные'!B111</f>
        <v>57.3884</v>
      </c>
      <c r="H111" s="0" t="n">
        <f aca="false">H110+6*$E$147/149</f>
        <v>0.931356058200935</v>
      </c>
      <c r="I111" s="0" t="n">
        <f aca="false">_xlfn.NORM.DIST(H111,$E$146,$E$147,0)</f>
        <v>0.512329792555312</v>
      </c>
      <c r="J111" s="0" t="n">
        <f aca="false">_xlfn.NORM.DIST(H111,$E$146,$E$147,1)</f>
        <v>0.917623413948302</v>
      </c>
    </row>
    <row r="112" customFormat="false" ht="12.8" hidden="false" customHeight="false" outlineLevel="0" collapsed="false">
      <c r="A112" s="0" t="n">
        <f aca="false">'Исходные данные'!A112</f>
        <v>0.655621</v>
      </c>
      <c r="B112" s="0" t="n">
        <f aca="false">'Исходные данные'!B112</f>
        <v>58.044</v>
      </c>
      <c r="H112" s="0" t="n">
        <f aca="false">H111+6*$E$147/149</f>
        <v>0.943302011037677</v>
      </c>
      <c r="I112" s="0" t="n">
        <f aca="false">_xlfn.NORM.DIST(H112,$E$146,$E$147,0)</f>
        <v>0.484062651459064</v>
      </c>
      <c r="J112" s="0" t="n">
        <f aca="false">_xlfn.NORM.DIST(H112,$E$146,$E$147,1)</f>
        <v>0.923574049569255</v>
      </c>
    </row>
    <row r="113" customFormat="false" ht="12.8" hidden="false" customHeight="false" outlineLevel="0" collapsed="false">
      <c r="A113" s="0" t="n">
        <f aca="false">'Исходные данные'!A113</f>
        <v>0.0779715</v>
      </c>
      <c r="B113" s="0" t="n">
        <f aca="false">'Исходные данные'!B113</f>
        <v>58.122</v>
      </c>
      <c r="H113" s="0" t="n">
        <f aca="false">H112+6*$E$147/149</f>
        <v>0.955247963874419</v>
      </c>
      <c r="I113" s="0" t="n">
        <f aca="false">_xlfn.NORM.DIST(H113,$E$146,$E$147,0)</f>
        <v>0.456614091152251</v>
      </c>
      <c r="J113" s="0" t="n">
        <f aca="false">_xlfn.NORM.DIST(H113,$E$146,$E$147,1)</f>
        <v>0.929191853591666</v>
      </c>
    </row>
    <row r="114" customFormat="false" ht="12.8" hidden="false" customHeight="false" outlineLevel="0" collapsed="false">
      <c r="A114" s="0" t="n">
        <f aca="false">'Исходные данные'!A114</f>
        <v>0.381421</v>
      </c>
      <c r="B114" s="0" t="n">
        <f aca="false">'Исходные данные'!B114</f>
        <v>58.5034</v>
      </c>
      <c r="H114" s="0" t="n">
        <f aca="false">H113+6*$E$147/149</f>
        <v>0.967193916711161</v>
      </c>
      <c r="I114" s="0" t="n">
        <f aca="false">_xlfn.NORM.DIST(H114,$E$146,$E$147,0)</f>
        <v>0.430024118755423</v>
      </c>
      <c r="J114" s="0" t="n">
        <f aca="false">_xlfn.NORM.DIST(H114,$E$146,$E$147,1)</f>
        <v>0.934486850091348</v>
      </c>
    </row>
    <row r="115" customFormat="false" ht="12.8" hidden="false" customHeight="false" outlineLevel="0" collapsed="false">
      <c r="A115" s="0" t="n">
        <f aca="false">'Исходные данные'!A115</f>
        <v>0.85963</v>
      </c>
      <c r="B115" s="0" t="n">
        <f aca="false">'Исходные данные'!B115</f>
        <v>59.363</v>
      </c>
      <c r="H115" s="0" t="n">
        <f aca="false">H114+6*$E$147/149</f>
        <v>0.979139869547903</v>
      </c>
      <c r="I115" s="0" t="n">
        <f aca="false">_xlfn.NORM.DIST(H115,$E$146,$E$147,0)</f>
        <v>0.40432639138165</v>
      </c>
      <c r="J115" s="0" t="n">
        <f aca="false">_xlfn.NORM.DIST(H115,$E$146,$E$147,1)</f>
        <v>0.939469503002459</v>
      </c>
    </row>
    <row r="116" customFormat="false" ht="12.8" hidden="false" customHeight="false" outlineLevel="0" collapsed="false">
      <c r="A116" s="0" t="n">
        <f aca="false">'Исходные данные'!A116</f>
        <v>0.376067</v>
      </c>
      <c r="B116" s="0" t="n">
        <f aca="false">'Исходные данные'!B116</f>
        <v>59.7391</v>
      </c>
      <c r="H116" s="0" t="n">
        <f aca="false">H115+6*$E$147/149</f>
        <v>0.991085822384645</v>
      </c>
      <c r="I116" s="0" t="n">
        <f aca="false">_xlfn.NORM.DIST(H116,$E$146,$E$147,0)</f>
        <v>0.379548374089462</v>
      </c>
      <c r="J116" s="0" t="n">
        <f aca="false">_xlfn.NORM.DIST(H116,$E$146,$E$147,1)</f>
        <v>0.944150641162883</v>
      </c>
    </row>
    <row r="117" customFormat="false" ht="12.8" hidden="false" customHeight="false" outlineLevel="0" collapsed="false">
      <c r="A117" s="0" t="n">
        <f aca="false">'Исходные данные'!A117</f>
        <v>0.708826</v>
      </c>
      <c r="B117" s="0" t="n">
        <f aca="false">'Исходные данные'!B117</f>
        <v>60.4479</v>
      </c>
      <c r="H117" s="0" t="n">
        <f aca="false">H116+6*$E$147/149</f>
        <v>1.00303177522139</v>
      </c>
      <c r="I117" s="0" t="n">
        <f aca="false">_xlfn.NORM.DIST(H117,$E$146,$E$147,0)</f>
        <v>0.355711537159606</v>
      </c>
      <c r="J117" s="0" t="n">
        <f aca="false">_xlfn.NORM.DIST(H117,$E$146,$E$147,1)</f>
        <v>0.948541385485479</v>
      </c>
    </row>
    <row r="118" customFormat="false" ht="12.8" hidden="false" customHeight="false" outlineLevel="0" collapsed="false">
      <c r="A118" s="0" t="n">
        <f aca="false">'Исходные данные'!A118</f>
        <v>0.414173</v>
      </c>
      <c r="B118" s="0" t="n">
        <f aca="false">'Исходные данные'!B118</f>
        <v>60.8621</v>
      </c>
      <c r="H118" s="0" t="n">
        <f aca="false">H117+6*$E$147/149</f>
        <v>1.01497772805813</v>
      </c>
      <c r="I118" s="0" t="n">
        <f aca="false">_xlfn.NORM.DIST(H118,$E$146,$E$147,0)</f>
        <v>0.332831588489337</v>
      </c>
      <c r="J118" s="0" t="n">
        <f aca="false">_xlfn.NORM.DIST(H118,$E$146,$E$147,1)</f>
        <v>0.952653078700019</v>
      </c>
    </row>
    <row r="119" customFormat="false" ht="12.8" hidden="false" customHeight="false" outlineLevel="0" collapsed="false">
      <c r="A119" s="0" t="n">
        <f aca="false">'Исходные данные'!A119</f>
        <v>0.325974</v>
      </c>
      <c r="B119" s="0" t="n">
        <f aca="false">'Исходные данные'!B119</f>
        <v>61.1881</v>
      </c>
      <c r="H119" s="0" t="n">
        <f aca="false">H118+6*$E$147/149</f>
        <v>1.02692368089487</v>
      </c>
      <c r="I119" s="0" t="n">
        <f aca="false">_xlfn.NORM.DIST(H119,$E$146,$E$147,0)</f>
        <v>0.310918736766605</v>
      </c>
      <c r="J119" s="0" t="n">
        <f aca="false">_xlfn.NORM.DIST(H119,$E$146,$E$147,1)</f>
        <v>0.956497218059503</v>
      </c>
    </row>
    <row r="120" customFormat="false" ht="12.8" hidden="false" customHeight="false" outlineLevel="0" collapsed="false">
      <c r="A120" s="0" t="n">
        <f aca="false">'Исходные данные'!A120</f>
        <v>0.321785</v>
      </c>
      <c r="B120" s="0" t="n">
        <f aca="false">'Исходные данные'!B120</f>
        <v>61.5098</v>
      </c>
      <c r="H120" s="0" t="n">
        <f aca="false">H119+6*$E$147/149</f>
        <v>1.03886963373161</v>
      </c>
      <c r="I120" s="0" t="n">
        <f aca="false">_xlfn.NORM.DIST(H120,$E$146,$E$147,0)</f>
        <v>0.289977981017653</v>
      </c>
      <c r="J120" s="0" t="n">
        <f aca="false">_xlfn.NORM.DIST(H120,$E$146,$E$147,1)</f>
        <v>0.960085391352274</v>
      </c>
    </row>
    <row r="121" customFormat="false" ht="12.8" hidden="false" customHeight="false" outlineLevel="0" collapsed="false">
      <c r="A121" s="0" t="n">
        <f aca="false">'Исходные данные'!A121</f>
        <v>0.490433</v>
      </c>
      <c r="B121" s="0" t="n">
        <f aca="false">'Исходные данные'!B121</f>
        <v>62.0003</v>
      </c>
      <c r="H121" s="0" t="n">
        <f aca="false">H120+6*$E$147/149</f>
        <v>1.05081558656836</v>
      </c>
      <c r="I121" s="0" t="n">
        <f aca="false">_xlfn.NORM.DIST(H121,$E$146,$E$147,0)</f>
        <v>0.270009422112175</v>
      </c>
      <c r="J121" s="0" t="n">
        <f aca="false">_xlfn.NORM.DIST(H121,$E$146,$E$147,1)</f>
        <v>0.963429216508586</v>
      </c>
    </row>
    <row r="122" customFormat="false" ht="12.8" hidden="false" customHeight="false" outlineLevel="0" collapsed="false">
      <c r="A122" s="0" t="n">
        <f aca="false">'Исходные данные'!A122</f>
        <v>0.314678</v>
      </c>
      <c r="B122" s="0" t="n">
        <f aca="false">'Исходные данные'!B122</f>
        <v>62.315</v>
      </c>
      <c r="H122" s="0" t="n">
        <f aca="false">H121+6*$E$147/149</f>
        <v>1.0627615394051</v>
      </c>
      <c r="I122" s="0" t="n">
        <f aca="false">_xlfn.NORM.DIST(H122,$E$146,$E$147,0)</f>
        <v>0.251008591856792</v>
      </c>
      <c r="J122" s="0" t="n">
        <f aca="false">_xlfn.NORM.DIST(H122,$E$146,$E$147,1)</f>
        <v>0.966540285037762</v>
      </c>
    </row>
    <row r="123" customFormat="false" ht="12.8" hidden="false" customHeight="false" outlineLevel="0" collapsed="false">
      <c r="A123" s="0" t="n">
        <f aca="false">'Исходные данные'!A123</f>
        <v>0.298517</v>
      </c>
      <c r="B123" s="0" t="n">
        <f aca="false">'Исходные данные'!B123</f>
        <v>62.6135</v>
      </c>
      <c r="H123" s="0" t="n">
        <f aca="false">H122+6*$E$147/149</f>
        <v>1.07470749224184</v>
      </c>
      <c r="I123" s="0" t="n">
        <f aca="false">_xlfn.NORM.DIST(H123,$E$146,$E$147,0)</f>
        <v>0.232966795405721</v>
      </c>
      <c r="J123" s="0" t="n">
        <f aca="false">_xlfn.NORM.DIST(H123,$E$146,$E$147,1)</f>
        <v>0.969430109480423</v>
      </c>
    </row>
    <row r="124" customFormat="false" ht="12.8" hidden="false" customHeight="false" outlineLevel="0" collapsed="false">
      <c r="A124" s="0" t="n">
        <f aca="false">'Исходные данные'!A124</f>
        <v>0.512092</v>
      </c>
      <c r="B124" s="0" t="n">
        <f aca="false">'Исходные данные'!B124</f>
        <v>63.1256</v>
      </c>
      <c r="H124" s="0" t="n">
        <f aca="false">H123+6*$E$147/149</f>
        <v>1.08665344507858</v>
      </c>
      <c r="I124" s="0" t="n">
        <f aca="false">_xlfn.NORM.DIST(H124,$E$146,$E$147,0)</f>
        <v>0.215871462862531</v>
      </c>
      <c r="J124" s="0" t="n">
        <f aca="false">_xlfn.NORM.DIST(H124,$E$146,$E$147,1)</f>
        <v>0.972110075010055</v>
      </c>
    </row>
    <row r="125" customFormat="false" ht="12.8" hidden="false" customHeight="false" outlineLevel="0" collapsed="false">
      <c r="A125" s="0" t="n">
        <f aca="false">'Исходные данные'!A125</f>
        <v>0.500782</v>
      </c>
      <c r="B125" s="0" t="n">
        <f aca="false">'Исходные данные'!B125</f>
        <v>63.6263</v>
      </c>
      <c r="H125" s="0" t="n">
        <f aca="false">H124+6*$E$147/149</f>
        <v>1.09859939791532</v>
      </c>
      <c r="I125" s="0" t="n">
        <f aca="false">_xlfn.NORM.DIST(H125,$E$146,$E$147,0)</f>
        <v>0.199706506133363</v>
      </c>
      <c r="J125" s="0" t="n">
        <f aca="false">_xlfn.NORM.DIST(H125,$E$146,$E$147,1)</f>
        <v>0.974591395269976</v>
      </c>
    </row>
    <row r="126" customFormat="false" ht="12.8" hidden="false" customHeight="false" outlineLevel="0" collapsed="false">
      <c r="A126" s="0" t="n">
        <f aca="false">'Исходные данные'!A126</f>
        <v>0.0782147</v>
      </c>
      <c r="B126" s="0" t="n">
        <f aca="false">'Исходные данные'!B126</f>
        <v>63.7046</v>
      </c>
      <c r="H126" s="0" t="n">
        <f aca="false">H125+6*$E$147/149</f>
        <v>1.11054535075207</v>
      </c>
      <c r="I126" s="0" t="n">
        <f aca="false">_xlfn.NORM.DIST(H126,$E$146,$E$147,0)</f>
        <v>0.18445267731464</v>
      </c>
      <c r="J126" s="0" t="n">
        <f aca="false">_xlfn.NORM.DIST(H126,$E$146,$E$147,1)</f>
        <v>0.976885072486005</v>
      </c>
    </row>
    <row r="127" customFormat="false" ht="12.8" hidden="false" customHeight="false" outlineLevel="0" collapsed="false">
      <c r="A127" s="0" t="n">
        <f aca="false">'Исходные данные'!A127</f>
        <v>0.298364</v>
      </c>
      <c r="B127" s="0" t="n">
        <f aca="false">'Исходные данные'!B127</f>
        <v>64.0029</v>
      </c>
      <c r="H127" s="0" t="n">
        <f aca="false">H126+6*$E$147/149</f>
        <v>1.12249130358881</v>
      </c>
      <c r="I127" s="0" t="n">
        <f aca="false">_xlfn.NORM.DIST(H127,$E$146,$E$147,0)</f>
        <v>0.170087925151215</v>
      </c>
      <c r="J127" s="0" t="n">
        <f aca="false">_xlfn.NORM.DIST(H127,$E$146,$E$147,1)</f>
        <v>0.979001861852198</v>
      </c>
    </row>
    <row r="128" customFormat="false" ht="12.8" hidden="false" customHeight="false" outlineLevel="0" collapsed="false">
      <c r="A128" s="0" t="n">
        <f aca="false">'Исходные данные'!A128</f>
        <v>0.881009</v>
      </c>
      <c r="B128" s="0" t="n">
        <f aca="false">'Исходные данные'!B128</f>
        <v>64.8839</v>
      </c>
      <c r="H128" s="0" t="n">
        <f aca="false">H127+6*$E$147/149</f>
        <v>1.13443725642555</v>
      </c>
      <c r="I128" s="0" t="n">
        <f aca="false">_xlfn.NORM.DIST(H128,$E$146,$E$147,0)</f>
        <v>0.15658774637856</v>
      </c>
      <c r="J128" s="0" t="n">
        <f aca="false">_xlfn.NORM.DIST(H128,$E$146,$E$147,1)</f>
        <v>0.980952240147288</v>
      </c>
    </row>
    <row r="129" customFormat="false" ht="12.8" hidden="false" customHeight="false" outlineLevel="0" collapsed="false">
      <c r="A129" s="0" t="n">
        <f aca="false">'Исходные данные'!A129</f>
        <v>0.784344</v>
      </c>
      <c r="B129" s="0" t="n">
        <f aca="false">'Исходные данные'!B129</f>
        <v>65.6683</v>
      </c>
      <c r="H129" s="0" t="n">
        <f aca="false">H128+6*$E$147/149</f>
        <v>1.14638320926229</v>
      </c>
      <c r="I129" s="0" t="n">
        <f aca="false">_xlfn.NORM.DIST(H129,$E$146,$E$147,0)</f>
        <v>0.143925529059048</v>
      </c>
      <c r="J129" s="0" t="n">
        <f aca="false">_xlfn.NORM.DIST(H129,$E$146,$E$147,1)</f>
        <v>0.98274637850315</v>
      </c>
    </row>
    <row r="130" customFormat="false" ht="12.8" hidden="false" customHeight="false" outlineLevel="0" collapsed="false">
      <c r="A130" s="0" t="n">
        <f aca="false">'Исходные данные'!A130</f>
        <v>0.0806682</v>
      </c>
      <c r="B130" s="0" t="n">
        <f aca="false">'Исходные данные'!B130</f>
        <v>65.7489</v>
      </c>
      <c r="H130" s="0" t="n">
        <f aca="false">H129+6*$E$147/149</f>
        <v>1.15832916209903</v>
      </c>
      <c r="I130" s="0" t="n">
        <f aca="false">_xlfn.NORM.DIST(H130,$E$146,$E$147,0)</f>
        <v>0.132072885332292</v>
      </c>
      <c r="J130" s="0" t="n">
        <f aca="false">_xlfn.NORM.DIST(H130,$E$146,$E$147,1)</f>
        <v>0.984394119213919</v>
      </c>
    </row>
    <row r="131" customFormat="false" ht="12.8" hidden="false" customHeight="false" outlineLevel="0" collapsed="false">
      <c r="A131" s="0" t="n">
        <f aca="false">'Исходные данные'!A131</f>
        <v>0.312922</v>
      </c>
      <c r="B131" s="0" t="n">
        <f aca="false">'Исходные данные'!B131</f>
        <v>66.0619</v>
      </c>
      <c r="H131" s="0" t="n">
        <f aca="false">H130+6*$E$147/149</f>
        <v>1.17027511493578</v>
      </c>
      <c r="I131" s="0" t="n">
        <f aca="false">_xlfn.NORM.DIST(H131,$E$146,$E$147,0)</f>
        <v>0.120999971317263</v>
      </c>
      <c r="J131" s="0" t="n">
        <f aca="false">_xlfn.NORM.DIST(H131,$E$146,$E$147,1)</f>
        <v>0.985904956445491</v>
      </c>
    </row>
    <row r="132" customFormat="false" ht="12.8" hidden="false" customHeight="false" outlineLevel="0" collapsed="false">
      <c r="A132" s="0" t="n">
        <f aca="false">'Исходные данные'!A132</f>
        <v>0.0663043</v>
      </c>
      <c r="B132" s="0" t="n">
        <f aca="false">'Исходные данные'!B132</f>
        <v>66.1282</v>
      </c>
      <c r="H132" s="0" t="n">
        <f aca="false">H131+6*$E$147/149</f>
        <v>1.18222106777252</v>
      </c>
      <c r="I132" s="0" t="n">
        <f aca="false">_xlfn.NORM.DIST(H132,$E$146,$E$147,0)</f>
        <v>0.110675792224666</v>
      </c>
      <c r="J132" s="0" t="n">
        <f aca="false">_xlfn.NORM.DIST(H132,$E$146,$E$147,1)</f>
        <v>0.987288020679978</v>
      </c>
    </row>
    <row r="133" customFormat="false" ht="12.8" hidden="false" customHeight="false" outlineLevel="0" collapsed="false">
      <c r="A133" s="0" t="n">
        <f aca="false">'Исходные данные'!A133</f>
        <v>0.0395537</v>
      </c>
      <c r="B133" s="0" t="n">
        <f aca="false">'Исходные данные'!B133</f>
        <v>66.1677</v>
      </c>
      <c r="H133" s="0" t="n">
        <f aca="false">H132+6*$E$147/149</f>
        <v>1.19416702060926</v>
      </c>
      <c r="I133" s="0" t="n">
        <f aca="false">_xlfn.NORM.DIST(H133,$E$146,$E$147,0)</f>
        <v>0.101068491056946</v>
      </c>
      <c r="J133" s="0" t="n">
        <f aca="false">_xlfn.NORM.DIST(H133,$E$146,$E$147,1)</f>
        <v>0.988552066708466</v>
      </c>
    </row>
    <row r="134" customFormat="false" ht="12.8" hidden="false" customHeight="false" outlineLevel="0" collapsed="false">
      <c r="A134" s="0" t="n">
        <f aca="false">'Исходные данные'!A134</f>
        <v>0.572613</v>
      </c>
      <c r="B134" s="0" t="n">
        <f aca="false">'Исходные данные'!B134</f>
        <v>66.7403</v>
      </c>
      <c r="H134" s="0" t="n">
        <f aca="false">H133+6*$E$147/149</f>
        <v>1.206112973446</v>
      </c>
      <c r="I134" s="0" t="n">
        <f aca="false">_xlfn.NORM.DIST(H134,$E$146,$E$147,0)</f>
        <v>0.092145619586104</v>
      </c>
      <c r="J134" s="0" t="n">
        <f aca="false">_xlfn.NORM.DIST(H134,$E$146,$E$147,1)</f>
        <v>0.989705464967851</v>
      </c>
    </row>
    <row r="135" customFormat="false" ht="12.8" hidden="false" customHeight="false" outlineLevel="0" collapsed="false">
      <c r="A135" s="0" t="n">
        <f aca="false">'Исходные данные'!A135</f>
        <v>0.806597</v>
      </c>
      <c r="B135" s="0" t="n">
        <f aca="false">'Исходные данные'!B135</f>
        <v>67.5469</v>
      </c>
      <c r="H135" s="0" t="n">
        <f aca="false">H134+6*$E$147/149</f>
        <v>1.21805892628274</v>
      </c>
      <c r="I135" s="0" t="n">
        <f aca="false">_xlfn.NORM.DIST(H135,$E$146,$E$147,0)</f>
        <v>0.0838743906023343</v>
      </c>
      <c r="J135" s="0" t="n">
        <f aca="false">_xlfn.NORM.DIST(H135,$E$146,$E$147,1)</f>
        <v>0.99075619600376</v>
      </c>
    </row>
    <row r="136" customFormat="false" ht="12.8" hidden="false" customHeight="false" outlineLevel="0" collapsed="false">
      <c r="A136" s="0" t="n">
        <f aca="false">'Исходные данные'!A136</f>
        <v>0.95176</v>
      </c>
      <c r="B136" s="0" t="n">
        <f aca="false">'Исходные данные'!B136</f>
        <v>68.4987</v>
      </c>
      <c r="H136" s="0" t="n">
        <f aca="false">H135+6*$E$147/149</f>
        <v>1.23000487911949</v>
      </c>
      <c r="I136" s="0" t="n">
        <f aca="false">_xlfn.NORM.DIST(H136,$E$146,$E$147,0)</f>
        <v>0.0762219107159882</v>
      </c>
      <c r="J136" s="0" t="n">
        <f aca="false">_xlfn.NORM.DIST(H136,$E$146,$E$147,1)</f>
        <v>0.991711847831237</v>
      </c>
    </row>
    <row r="137" customFormat="false" ht="12.8" hidden="false" customHeight="false" outlineLevel="0" collapsed="false">
      <c r="A137" s="0" t="n">
        <f aca="false">'Исходные данные'!A137</f>
        <v>0.882406</v>
      </c>
      <c r="B137" s="0" t="n">
        <f aca="false">'Исходные данные'!B137</f>
        <v>69.3811</v>
      </c>
      <c r="H137" s="0" t="n">
        <f aca="false">H136+6*$E$147/149</f>
        <v>1.24195083195623</v>
      </c>
      <c r="I137" s="0" t="n">
        <f aca="false">_xlfn.NORM.DIST(H137,$E$146,$E$147,0)</f>
        <v>0.069155393268632</v>
      </c>
      <c r="J137" s="0" t="n">
        <f aca="false">_xlfn.NORM.DIST(H137,$E$146,$E$147,1)</f>
        <v>0.99257961595798</v>
      </c>
    </row>
    <row r="138" customFormat="false" ht="12.8" hidden="false" customHeight="false" outlineLevel="0" collapsed="false">
      <c r="A138" s="0" t="n">
        <f aca="false">'Исходные данные'!A138</f>
        <v>0.726409</v>
      </c>
      <c r="B138" s="0" t="n">
        <f aca="false">'Исходные данные'!B138</f>
        <v>70.1075</v>
      </c>
      <c r="H138" s="0" t="n">
        <f aca="false">H137+6*$E$147/149</f>
        <v>1.25389678479297</v>
      </c>
      <c r="I138" s="0" t="n">
        <f aca="false">_xlfn.NORM.DIST(H138,$E$146,$E$147,0)</f>
        <v>0.0626423511636266</v>
      </c>
      <c r="J138" s="0" t="n">
        <f aca="false">_xlfn.NORM.DIST(H138,$E$146,$E$147,1)</f>
        <v>0.993366305831126</v>
      </c>
    </row>
    <row r="139" customFormat="false" ht="12.8" hidden="false" customHeight="false" outlineLevel="0" collapsed="false">
      <c r="A139" s="0" t="n">
        <f aca="false">'Исходные данные'!A139</f>
        <v>0.0862894</v>
      </c>
      <c r="B139" s="0" t="n">
        <f aca="false">'Исходные данные'!B139</f>
        <v>70.1938</v>
      </c>
      <c r="H139" s="0" t="n">
        <f aca="false">H138+6*$E$147/149</f>
        <v>1.26584273762971</v>
      </c>
      <c r="I139" s="0" t="n">
        <f aca="false">_xlfn.NORM.DIST(H139,$E$146,$E$147,0)</f>
        <v>0.0566507696608199</v>
      </c>
      <c r="J139" s="0" t="n">
        <f aca="false">_xlfn.NORM.DIST(H139,$E$146,$E$147,1)</f>
        <v>0.994078337467754</v>
      </c>
    </row>
    <row r="140" customFormat="false" ht="12.8" hidden="false" customHeight="false" outlineLevel="0" collapsed="false">
      <c r="A140" s="0" t="n">
        <f aca="false">'Исходные данные'!A140</f>
        <v>0.331059</v>
      </c>
      <c r="B140" s="0" t="n">
        <f aca="false">'Исходные данные'!B140</f>
        <v>70.5249</v>
      </c>
      <c r="H140" s="0" t="n">
        <f aca="false">H139+6*$E$147/149</f>
        <v>1.27778869046645</v>
      </c>
      <c r="I140" s="0" t="n">
        <f aca="false">_xlfn.NORM.DIST(H140,$E$146,$E$147,0)</f>
        <v>0.0511492593922131</v>
      </c>
      <c r="J140" s="0" t="n">
        <f aca="false">_xlfn.NORM.DIST(H140,$E$146,$E$147,1)</f>
        <v>0.994721752031095</v>
      </c>
    </row>
    <row r="141" customFormat="false" ht="12.8" hidden="false" customHeight="false" outlineLevel="0" collapsed="false">
      <c r="A141" s="0" t="n">
        <f aca="false">'Исходные данные'!A141</f>
        <v>0.998665</v>
      </c>
      <c r="B141" s="0" t="n">
        <f aca="false">'Исходные данные'!B141</f>
        <v>71.5235</v>
      </c>
      <c r="H141" s="0" t="n">
        <f aca="false">H140+6*$E$147/149</f>
        <v>1.2897346433032</v>
      </c>
      <c r="I141" s="0" t="n">
        <f aca="false">_xlfn.NORM.DIST(H141,$E$146,$E$147,0)</f>
        <v>0.0461071900449051</v>
      </c>
      <c r="J141" s="0" t="n">
        <f aca="false">_xlfn.NORM.DIST(H141,$E$146,$E$147,1)</f>
        <v>0.995302220118652</v>
      </c>
    </row>
    <row r="142" customFormat="false" ht="12.8" hidden="false" customHeight="false" outlineLevel="0" collapsed="false">
      <c r="A142" s="0" t="n">
        <f aca="false">'Исходные данные'!A142</f>
        <v>0.829758</v>
      </c>
      <c r="B142" s="0" t="n">
        <f aca="false">'Исходные данные'!B142</f>
        <v>72.3533</v>
      </c>
      <c r="H142" s="0" t="n">
        <f aca="false">H141+6*$E$147/149</f>
        <v>1.30168059613994</v>
      </c>
      <c r="I142" s="0" t="n">
        <f aca="false">_xlfn.NORM.DIST(H142,$E$146,$E$147,0)</f>
        <v>0.0414948053237431</v>
      </c>
      <c r="J142" s="0" t="n">
        <f aca="false">_xlfn.NORM.DIST(H142,$E$146,$E$147,1)</f>
        <v>0.995825051534788</v>
      </c>
    </row>
    <row r="143" customFormat="false" ht="12.8" hidden="false" customHeight="false" outlineLevel="0" collapsed="false">
      <c r="A143" s="0" t="n">
        <f aca="false">'Исходные данные'!A143</f>
        <v>0.951782</v>
      </c>
      <c r="B143" s="0" t="n">
        <f aca="false">'Исходные данные'!B143</f>
        <v>73.3051</v>
      </c>
      <c r="H143" s="0" t="n">
        <f aca="false">H142+6*$E$147/149</f>
        <v>1.31362654897668</v>
      </c>
      <c r="I143" s="0" t="n">
        <f aca="false">_xlfn.NORM.DIST(H143,$E$146,$E$147,0)</f>
        <v>0.0372833199488076</v>
      </c>
      <c r="J143" s="0" t="n">
        <f aca="false">_xlfn.NORM.DIST(H143,$E$146,$E$147,1)</f>
        <v>0.996295206328534</v>
      </c>
    </row>
    <row r="144" customFormat="false" ht="12.8" hidden="false" customHeight="false" outlineLevel="0" collapsed="false">
      <c r="A144" s="0" t="n">
        <f aca="false">'Исходные данные'!A144</f>
        <v>0.466706</v>
      </c>
      <c r="B144" s="0" t="n">
        <f aca="false">'Исходные данные'!B144</f>
        <v>73.7718</v>
      </c>
      <c r="H144" s="0" t="n">
        <f aca="false">H143+6*$E$147/149</f>
        <v>1.32557250181342</v>
      </c>
      <c r="I144" s="0" t="n">
        <f aca="false">_xlfn.NORM.DIST(H144,$E$146,$E$147,0)</f>
        <v>0.0334449995624355</v>
      </c>
      <c r="J144" s="0" t="n">
        <f aca="false">_xlfn.NORM.DIST(H144,$E$146,$E$147,1)</f>
        <v>0.99671730688712</v>
      </c>
    </row>
    <row r="145" customFormat="false" ht="12.8" hidden="false" customHeight="false" outlineLevel="0" collapsed="false">
      <c r="A145" s="0" t="n">
        <f aca="false">'Исходные данные'!A145</f>
        <v>0.59413</v>
      </c>
      <c r="B145" s="0" t="n">
        <f aca="false">'Исходные данные'!B145</f>
        <v>74.3659</v>
      </c>
      <c r="H145" s="0" t="n">
        <f aca="false">H144+6*$E$147/149</f>
        <v>1.33751845465016</v>
      </c>
      <c r="I145" s="0" t="n">
        <f aca="false">_xlfn.NORM.DIST(H145,$E$146,$E$147,0)</f>
        <v>0.0299532245175235</v>
      </c>
      <c r="J145" s="0" t="n">
        <f aca="false">_xlfn.NORM.DIST(H145,$E$146,$E$147,1)</f>
        <v>0.997095650886785</v>
      </c>
    </row>
    <row r="146" customFormat="false" ht="17.35" hidden="false" customHeight="false" outlineLevel="0" collapsed="false">
      <c r="A146" s="0" t="n">
        <f aca="false">'Исходные данные'!A146</f>
        <v>0.660088</v>
      </c>
      <c r="B146" s="0" t="n">
        <f aca="false">'Исходные данные'!B146</f>
        <v>75.026</v>
      </c>
      <c r="D146" s="3" t="s">
        <v>9</v>
      </c>
      <c r="E146" s="8" t="n">
        <f aca="false">AVERAGE(A2:A151)</f>
        <v>0.519220685333333</v>
      </c>
      <c r="H146" s="0" t="n">
        <f aca="false">H145+6*$E$147/149</f>
        <v>1.34946440748691</v>
      </c>
      <c r="I146" s="0" t="n">
        <f aca="false">_xlfn.NORM.DIST(H146,$E$146,$E$147,0)</f>
        <v>0.026782538594263</v>
      </c>
      <c r="J146" s="0" t="n">
        <f aca="false">_xlfn.NORM.DIST(H146,$E$146,$E$147,1)</f>
        <v>0.997434224914504</v>
      </c>
    </row>
    <row r="147" customFormat="false" ht="17.35" hidden="false" customHeight="false" outlineLevel="0" collapsed="false">
      <c r="A147" s="0" t="n">
        <f aca="false">'Исходные данные'!A147</f>
        <v>0.681683</v>
      </c>
      <c r="B147" s="0" t="n">
        <f aca="false">'Исходные данные'!B147</f>
        <v>75.7077</v>
      </c>
      <c r="D147" s="3" t="s">
        <v>10</v>
      </c>
      <c r="E147" s="8" t="n">
        <f aca="false">STDEV(A2:A151)</f>
        <v>0.296657828779094</v>
      </c>
      <c r="H147" s="0" t="n">
        <f aca="false">H146+6*$E$147/149</f>
        <v>1.36141036032365</v>
      </c>
      <c r="I147" s="0" t="n">
        <f aca="false">_xlfn.NORM.DIST(H147,$E$146,$E$147,0)</f>
        <v>0.0239086837473637</v>
      </c>
      <c r="J147" s="0" t="n">
        <f aca="false">_xlfn.NORM.DIST(H147,$E$146,$E$147,1)</f>
        <v>0.997736718587125</v>
      </c>
    </row>
    <row r="148" customFormat="false" ht="12.8" hidden="false" customHeight="false" outlineLevel="0" collapsed="false">
      <c r="A148" s="0" t="n">
        <f aca="false">'Исходные данные'!A148</f>
        <v>0.98202</v>
      </c>
      <c r="B148" s="0" t="n">
        <f aca="false">'Исходные данные'!B148</f>
        <v>76.6897</v>
      </c>
      <c r="H148" s="0" t="n">
        <f aca="false">H147+6*$E$147/149</f>
        <v>1.37335631316039</v>
      </c>
      <c r="I148" s="0" t="n">
        <f aca="false">_xlfn.NORM.DIST(H148,$E$146,$E$147,0)</f>
        <v>0.0213086220215672</v>
      </c>
      <c r="J148" s="0" t="n">
        <f aca="false">_xlfn.NORM.DIST(H148,$E$146,$E$147,1)</f>
        <v>0.998006539007806</v>
      </c>
    </row>
    <row r="149" customFormat="false" ht="12.8" hidden="false" customHeight="false" outlineLevel="0" collapsed="false">
      <c r="A149" s="0" t="n">
        <f aca="false">'Исходные данные'!A149</f>
        <v>0.658111</v>
      </c>
      <c r="B149" s="0" t="n">
        <f aca="false">'Исходные данные'!B149</f>
        <v>77.3478</v>
      </c>
      <c r="H149" s="0" t="n">
        <f aca="false">H148+6*$E$147/149</f>
        <v>1.38530226599713</v>
      </c>
      <c r="I149" s="0" t="n">
        <f aca="false">_xlfn.NORM.DIST(H149,$E$146,$E$147,0)</f>
        <v>0.0189605457913236</v>
      </c>
      <c r="J149" s="0" t="n">
        <f aca="false">_xlfn.NORM.DIST(H149,$E$146,$E$147,1)</f>
        <v>0.998246825413361</v>
      </c>
    </row>
    <row r="150" customFormat="false" ht="12.8" hidden="false" customHeight="false" outlineLevel="0" collapsed="false">
      <c r="A150" s="0" t="n">
        <f aca="false">'Исходные данные'!A150</f>
        <v>0.426784</v>
      </c>
      <c r="B150" s="0" t="n">
        <f aca="false">'Исходные данные'!B150</f>
        <v>77.7746</v>
      </c>
      <c r="H150" s="0" t="n">
        <f aca="false">H149+6*$E$147/149</f>
        <v>1.39724821883387</v>
      </c>
      <c r="I150" s="0" t="n">
        <f aca="false">_xlfn.NORM.DIST(H150,$E$146,$E$147,0)</f>
        <v>0.0168438774825107</v>
      </c>
      <c r="J150" s="0" t="n">
        <f aca="false">_xlfn.NORM.DIST(H150,$E$146,$E$147,1)</f>
        <v>0.998460463879957</v>
      </c>
    </row>
    <row r="151" customFormat="false" ht="17.35" hidden="false" customHeight="false" outlineLevel="0" collapsed="false">
      <c r="A151" s="0" t="n">
        <f aca="false">'Исходные данные'!A151</f>
        <v>0.108516</v>
      </c>
      <c r="B151" s="0" t="n">
        <f aca="false">'Исходные данные'!B151</f>
        <v>77.8831</v>
      </c>
      <c r="F151" s="1" t="s">
        <v>11</v>
      </c>
      <c r="G151" s="0" t="n">
        <f aca="false">(E146+3*E147)</f>
        <v>1.40919417167061</v>
      </c>
      <c r="H151" s="0" t="n">
        <f aca="false">H150+6*$E$147/149</f>
        <v>1.40919417167062</v>
      </c>
      <c r="I151" s="0" t="n">
        <f aca="false">_xlfn.NORM.DIST(H151,$E$146,$E$147,0)</f>
        <v>0.0149392599216995</v>
      </c>
      <c r="J151" s="0" t="n">
        <f aca="false">_xlfn.NORM.DIST(H151,$E$146,$E$147,1)</f>
        <v>0.99865010196837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71" colorId="64" zoomScale="120" zoomScaleNormal="120" zoomScalePageLayoutView="100" workbookViewId="0">
      <selection pane="topLeft" activeCell="E196" activeCellId="0" sqref="E196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7.85"/>
    <col collapsed="false" customWidth="true" hidden="false" outlineLevel="0" max="7" min="7" style="0" width="17.85"/>
    <col collapsed="false" customWidth="true" hidden="false" outlineLevel="0" max="8" min="8" style="0" width="21.68"/>
    <col collapsed="false" customWidth="true" hidden="false" outlineLevel="0" max="9" min="9" style="0" width="36.58"/>
    <col collapsed="false" customWidth="true" hidden="false" outlineLevel="0" max="10" min="10" style="0" width="32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F1" s="2"/>
      <c r="H1" s="1" t="s">
        <v>5</v>
      </c>
      <c r="I1" s="1" t="s">
        <v>6</v>
      </c>
      <c r="J1" s="1" t="s">
        <v>7</v>
      </c>
    </row>
    <row r="2" customFormat="false" ht="17.35" hidden="false" customHeight="false" outlineLevel="0" collapsed="false">
      <c r="A2" s="0" t="n">
        <f aca="false">'Исходные данные'!A2</f>
        <v>0.59931</v>
      </c>
      <c r="B2" s="0" t="n">
        <f aca="false">'Исходные данные'!B2</f>
        <v>0.59931</v>
      </c>
      <c r="F2" s="1" t="s">
        <v>8</v>
      </c>
      <c r="G2" s="0" t="n">
        <f aca="false">(E196-3*E197)</f>
        <v>-0.352673010797906</v>
      </c>
      <c r="H2" s="0" t="n">
        <f aca="false">(E196-3*E197)</f>
        <v>-0.352673010797906</v>
      </c>
      <c r="I2" s="0" t="n">
        <f aca="false">_xlfn.NORM.DIST(H2,$E$196,$E$197,0)</f>
        <v>0.0152797792879748</v>
      </c>
      <c r="J2" s="0" t="n">
        <f aca="false">_xlfn.NORM.DIST(H2,$E$196,$E$197,1)</f>
        <v>0.00134989803163009</v>
      </c>
    </row>
    <row r="3" customFormat="false" ht="12.8" hidden="false" customHeight="false" outlineLevel="0" collapsed="false">
      <c r="A3" s="0" t="n">
        <f aca="false">'Исходные данные'!A3</f>
        <v>0.52672</v>
      </c>
      <c r="B3" s="0" t="n">
        <f aca="false">'Исходные данные'!B3</f>
        <v>1.12603</v>
      </c>
      <c r="H3" s="0" t="n">
        <f aca="false">H2+6*$E$197/199</f>
        <v>-0.34392788642858</v>
      </c>
      <c r="I3" s="0" t="n">
        <f aca="false">_xlfn.NORM.DIST(H3,$E$196,$E$197,0)</f>
        <v>0.0167187035614563</v>
      </c>
      <c r="J3" s="0" t="n">
        <f aca="false">_xlfn.NORM.DIST(H3,$E$196,$E$197,1)</f>
        <v>0.00148972961732063</v>
      </c>
    </row>
    <row r="4" customFormat="false" ht="12.8" hidden="false" customHeight="false" outlineLevel="0" collapsed="false">
      <c r="A4" s="0" t="n">
        <f aca="false">'Исходные данные'!A4</f>
        <v>0.39169</v>
      </c>
      <c r="B4" s="0" t="n">
        <f aca="false">'Исходные данные'!B4</f>
        <v>1.51772</v>
      </c>
      <c r="H4" s="0" t="n">
        <f aca="false">H3+6*$E$197/199</f>
        <v>-0.335182762059255</v>
      </c>
      <c r="I4" s="0" t="n">
        <f aca="false">_xlfn.NORM.DIST(H4,$E$196,$E$197,0)</f>
        <v>0.0182765117742059</v>
      </c>
      <c r="J4" s="0" t="n">
        <f aca="false">_xlfn.NORM.DIST(H4,$E$196,$E$197,1)</f>
        <v>0.00164265882970581</v>
      </c>
    </row>
    <row r="5" customFormat="false" ht="12.8" hidden="false" customHeight="false" outlineLevel="0" collapsed="false">
      <c r="A5" s="0" t="n">
        <f aca="false">'Исходные данные'!A5</f>
        <v>0.996682</v>
      </c>
      <c r="B5" s="0" t="n">
        <f aca="false">'Исходные данные'!B5</f>
        <v>2.5144</v>
      </c>
      <c r="H5" s="0" t="n">
        <f aca="false">H4+6*$E$197/199</f>
        <v>-0.326437637689929</v>
      </c>
      <c r="I5" s="0" t="n">
        <f aca="false">_xlfn.NORM.DIST(H5,$E$196,$E$197,0)</f>
        <v>0.0199613183292464</v>
      </c>
      <c r="J5" s="0" t="n">
        <f aca="false">_xlfn.NORM.DIST(H5,$E$196,$E$197,1)</f>
        <v>0.00180976052185689</v>
      </c>
    </row>
    <row r="6" customFormat="false" ht="12.8" hidden="false" customHeight="false" outlineLevel="0" collapsed="false">
      <c r="A6" s="0" t="n">
        <f aca="false">'Исходные данные'!A6</f>
        <v>0.574168</v>
      </c>
      <c r="B6" s="0" t="n">
        <f aca="false">'Исходные данные'!B6</f>
        <v>3.08857</v>
      </c>
      <c r="H6" s="0" t="n">
        <f aca="false">H5+6*$E$197/199</f>
        <v>-0.317692513320603</v>
      </c>
      <c r="I6" s="0" t="n">
        <f aca="false">_xlfn.NORM.DIST(H6,$E$196,$E$197,0)</f>
        <v>0.0217816275327224</v>
      </c>
      <c r="J6" s="0" t="n">
        <f aca="false">_xlfn.NORM.DIST(H6,$E$196,$E$197,1)</f>
        <v>0.00199218221001719</v>
      </c>
    </row>
    <row r="7" customFormat="false" ht="12.8" hidden="false" customHeight="false" outlineLevel="0" collapsed="false">
      <c r="A7" s="0" t="n">
        <f aca="false">'Исходные данные'!A7</f>
        <v>0.51831</v>
      </c>
      <c r="B7" s="0" t="n">
        <f aca="false">'Исходные данные'!B7</f>
        <v>3.60688</v>
      </c>
      <c r="H7" s="0" t="n">
        <f aca="false">H6+6*$E$197/199</f>
        <v>-0.308947388951278</v>
      </c>
      <c r="I7" s="0" t="n">
        <f aca="false">_xlfn.NORM.DIST(H7,$E$196,$E$197,0)</f>
        <v>0.0237463372195417</v>
      </c>
      <c r="J7" s="0" t="n">
        <f aca="false">_xlfn.NORM.DIST(H7,$E$196,$E$197,1)</f>
        <v>0.00219114750027113</v>
      </c>
    </row>
    <row r="8" customFormat="false" ht="12.8" hidden="false" customHeight="false" outlineLevel="0" collapsed="false">
      <c r="A8" s="0" t="n">
        <f aca="false">'Исходные данные'!A8</f>
        <v>0.530825</v>
      </c>
      <c r="B8" s="0" t="n">
        <f aca="false">'Исходные данные'!B8</f>
        <v>4.13771</v>
      </c>
      <c r="H8" s="0" t="n">
        <f aca="false">H7+6*$E$197/199</f>
        <v>-0.300202264581952</v>
      </c>
      <c r="I8" s="0" t="n">
        <f aca="false">_xlfn.NORM.DIST(H8,$E$196,$E$197,0)</f>
        <v>0.0258647408433762</v>
      </c>
      <c r="J8" s="0" t="n">
        <f aca="false">_xlfn.NORM.DIST(H8,$E$196,$E$197,1)</f>
        <v>0.00240795954031496</v>
      </c>
    </row>
    <row r="9" customFormat="false" ht="12.8" hidden="false" customHeight="false" outlineLevel="0" collapsed="false">
      <c r="A9" s="0" t="n">
        <f aca="false">'Исходные данные'!A9</f>
        <v>0.624686</v>
      </c>
      <c r="B9" s="0" t="n">
        <f aca="false">'Исходные данные'!B9</f>
        <v>4.76239</v>
      </c>
      <c r="H9" s="0" t="n">
        <f aca="false">H8+6*$E$197/199</f>
        <v>-0.291457140212626</v>
      </c>
      <c r="I9" s="0" t="n">
        <f aca="false">_xlfn.NORM.DIST(H9,$E$196,$E$197,0)</f>
        <v>0.02814652787915</v>
      </c>
      <c r="J9" s="0" t="n">
        <f aca="false">_xlfn.NORM.DIST(H9,$E$196,$E$197,1)</f>
        <v>0.00264400448223777</v>
      </c>
    </row>
    <row r="10" customFormat="false" ht="12.8" hidden="false" customHeight="false" outlineLevel="0" collapsed="false">
      <c r="A10" s="0" t="n">
        <f aca="false">'Исходные данные'!A10</f>
        <v>0.134262</v>
      </c>
      <c r="B10" s="0" t="n">
        <f aca="false">'Исходные данные'!B10</f>
        <v>4.89665</v>
      </c>
      <c r="H10" s="0" t="n">
        <f aca="false">H9+6*$E$197/199</f>
        <v>-0.282712015843301</v>
      </c>
      <c r="I10" s="0" t="n">
        <f aca="false">_xlfn.NORM.DIST(H10,$E$196,$E$197,0)</f>
        <v>0.0306017823835828</v>
      </c>
      <c r="J10" s="0" t="n">
        <f aca="false">_xlfn.NORM.DIST(H10,$E$196,$E$197,1)</f>
        <v>0.0029007549408815</v>
      </c>
    </row>
    <row r="11" customFormat="false" ht="12.8" hidden="false" customHeight="false" outlineLevel="0" collapsed="false">
      <c r="A11" s="0" t="n">
        <f aca="false">'Исходные данные'!A11</f>
        <v>0.311794</v>
      </c>
      <c r="B11" s="0" t="n">
        <f aca="false">'Исходные данные'!B11</f>
        <v>5.20845</v>
      </c>
      <c r="H11" s="0" t="n">
        <f aca="false">H10+6*$E$197/199</f>
        <v>-0.273966891473975</v>
      </c>
      <c r="I11" s="0" t="n">
        <f aca="false">_xlfn.NORM.DIST(H11,$E$196,$E$197,0)</f>
        <v>0.0332409795577352</v>
      </c>
      <c r="J11" s="0" t="n">
        <f aca="false">_xlfn.NORM.DIST(H11,$E$196,$E$197,1)</f>
        <v>0.00317977343099047</v>
      </c>
    </row>
    <row r="12" customFormat="false" ht="12.8" hidden="false" customHeight="false" outlineLevel="0" collapsed="false">
      <c r="A12" s="0" t="n">
        <f aca="false">'Исходные данные'!A12</f>
        <v>0.533984</v>
      </c>
      <c r="B12" s="0" t="n">
        <f aca="false">'Исходные данные'!B12</f>
        <v>5.74243</v>
      </c>
      <c r="H12" s="0" t="n">
        <f aca="false">H11+6*$E$197/199</f>
        <v>-0.265221767104649</v>
      </c>
      <c r="I12" s="0" t="n">
        <f aca="false">_xlfn.NORM.DIST(H12,$E$196,$E$197,0)</f>
        <v>0.0360749801549207</v>
      </c>
      <c r="J12" s="0" t="n">
        <f aca="false">_xlfn.NORM.DIST(H12,$E$196,$E$197,1)</f>
        <v>0.00348271576499273</v>
      </c>
    </row>
    <row r="13" customFormat="false" ht="12.8" hidden="false" customHeight="false" outlineLevel="0" collapsed="false">
      <c r="A13" s="0" t="n">
        <f aca="false">'Исходные данные'!A13</f>
        <v>0.440809</v>
      </c>
      <c r="B13" s="0" t="n">
        <f aca="false">'Исходные данные'!B13</f>
        <v>6.18324</v>
      </c>
      <c r="H13" s="0" t="n">
        <f aca="false">H12+6*$E$197/199</f>
        <v>-0.256476642735324</v>
      </c>
      <c r="I13" s="0" t="n">
        <f aca="false">_xlfn.NORM.DIST(H13,$E$196,$E$197,0)</f>
        <v>0.0391150225779048</v>
      </c>
      <c r="J13" s="0" t="n">
        <f aca="false">_xlfn.NORM.DIST(H13,$E$196,$E$197,1)</f>
        <v>0.00381133439188759</v>
      </c>
    </row>
    <row r="14" customFormat="false" ht="12.8" hidden="false" customHeight="false" outlineLevel="0" collapsed="false">
      <c r="A14" s="0" t="n">
        <f aca="false">'Исходные данные'!A14</f>
        <v>0.063503</v>
      </c>
      <c r="B14" s="0" t="n">
        <f aca="false">'Исходные данные'!B14</f>
        <v>6.24674</v>
      </c>
      <c r="H14" s="0" t="n">
        <f aca="false">H13+6*$E$197/199</f>
        <v>-0.247731518365998</v>
      </c>
      <c r="I14" s="0" t="n">
        <f aca="false">_xlfn.NORM.DIST(H14,$E$196,$E$197,0)</f>
        <v>0.042372712511094</v>
      </c>
      <c r="J14" s="0" t="n">
        <f aca="false">_xlfn.NORM.DIST(H14,$E$196,$E$197,1)</f>
        <v>0.00416748165635501</v>
      </c>
    </row>
    <row r="15" customFormat="false" ht="12.8" hidden="false" customHeight="false" outlineLevel="0" collapsed="false">
      <c r="A15" s="0" t="n">
        <f aca="false">'Исходные данные'!A15</f>
        <v>0.872792</v>
      </c>
      <c r="B15" s="0" t="n">
        <f aca="false">'Исходные данные'!B15</f>
        <v>7.11953</v>
      </c>
      <c r="H15" s="0" t="n">
        <f aca="false">H14+6*$E$197/199</f>
        <v>-0.238986393996672</v>
      </c>
      <c r="I15" s="0" t="n">
        <f aca="false">_xlfn.NORM.DIST(H15,$E$196,$E$197,0)</f>
        <v>0.0458600099365266</v>
      </c>
      <c r="J15" s="0" t="n">
        <f aca="false">_xlfn.NORM.DIST(H15,$E$196,$E$197,1)</f>
        <v>0.00455311295586667</v>
      </c>
    </row>
    <row r="16" customFormat="false" ht="12.8" hidden="false" customHeight="false" outlineLevel="0" collapsed="false">
      <c r="A16" s="0" t="n">
        <f aca="false">'Исходные данные'!A16</f>
        <v>0.224759</v>
      </c>
      <c r="B16" s="0" t="n">
        <f aca="false">'Исходные данные'!B16</f>
        <v>7.34429</v>
      </c>
      <c r="H16" s="0" t="n">
        <f aca="false">H15+6*$E$197/199</f>
        <v>-0.230241269627347</v>
      </c>
      <c r="I16" s="0" t="n">
        <f aca="false">_xlfn.NORM.DIST(H16,$E$196,$E$197,0)</f>
        <v>0.0495892133869917</v>
      </c>
      <c r="J16" s="0" t="n">
        <f aca="false">_xlfn.NORM.DIST(H16,$E$196,$E$197,1)</f>
        <v>0.00497028977227419</v>
      </c>
    </row>
    <row r="17" customFormat="false" ht="12.8" hidden="false" customHeight="false" outlineLevel="0" collapsed="false">
      <c r="A17" s="0" t="n">
        <f aca="false">'Исходные данные'!A17</f>
        <v>0.202601</v>
      </c>
      <c r="B17" s="0" t="n">
        <f aca="false">'Исходные данные'!B17</f>
        <v>7.54689</v>
      </c>
      <c r="H17" s="0" t="n">
        <f aca="false">H16+6*$E$197/199</f>
        <v>-0.221496145258021</v>
      </c>
      <c r="I17" s="0" t="n">
        <f aca="false">_xlfn.NORM.DIST(H17,$E$196,$E$197,0)</f>
        <v>0.0535729412956088</v>
      </c>
      <c r="J17" s="0" t="n">
        <f aca="false">_xlfn.NORM.DIST(H17,$E$196,$E$197,1)</f>
        <v>0.00542118255309303</v>
      </c>
    </row>
    <row r="18" customFormat="false" ht="12.8" hidden="false" customHeight="false" outlineLevel="0" collapsed="false">
      <c r="A18" s="0" t="n">
        <f aca="false">'Исходные данные'!A18</f>
        <v>0.700437</v>
      </c>
      <c r="B18" s="0" t="n">
        <f aca="false">'Исходные данные'!B18</f>
        <v>8.24733</v>
      </c>
      <c r="H18" s="0" t="n">
        <f aca="false">H17+6*$E$197/199</f>
        <v>-0.212751020888695</v>
      </c>
      <c r="I18" s="0" t="n">
        <f aca="false">_xlfn.NORM.DIST(H18,$E$196,$E$197,0)</f>
        <v>0.0578241103087709</v>
      </c>
      <c r="J18" s="0" t="n">
        <f aca="false">_xlfn.NORM.DIST(H18,$E$196,$E$197,1)</f>
        <v>0.00590807341650216</v>
      </c>
    </row>
    <row r="19" customFormat="false" ht="12.8" hidden="false" customHeight="false" outlineLevel="0" collapsed="false">
      <c r="A19" s="0" t="n">
        <f aca="false">'Исходные данные'!A19</f>
        <v>0.488813</v>
      </c>
      <c r="B19" s="0" t="n">
        <f aca="false">'Исходные данные'!B19</f>
        <v>8.73615</v>
      </c>
      <c r="H19" s="0" t="n">
        <f aca="false">H18+6*$E$197/199</f>
        <v>-0.20400589651937</v>
      </c>
      <c r="I19" s="0" t="n">
        <f aca="false">_xlfn.NORM.DIST(H19,$E$196,$E$197,0)</f>
        <v>0.0623559104385496</v>
      </c>
      <c r="J19" s="0" t="n">
        <f aca="false">_xlfn.NORM.DIST(H19,$E$196,$E$197,1)</f>
        <v>0.00643335865295457</v>
      </c>
    </row>
    <row r="20" customFormat="false" ht="12.8" hidden="false" customHeight="false" outlineLevel="0" collapsed="false">
      <c r="A20" s="0" t="n">
        <f aca="false">'Исходные данные'!A20</f>
        <v>0.198562</v>
      </c>
      <c r="B20" s="0" t="n">
        <f aca="false">'Исходные данные'!B20</f>
        <v>8.93471</v>
      </c>
      <c r="H20" s="0" t="n">
        <f aca="false">H19+6*$E$197/199</f>
        <v>-0.195260772150044</v>
      </c>
      <c r="I20" s="0" t="n">
        <f aca="false">_xlfn.NORM.DIST(H20,$E$196,$E$197,0)</f>
        <v>0.0671817769415438</v>
      </c>
      <c r="J20" s="0" t="n">
        <f aca="false">_xlfn.NORM.DIST(H20,$E$196,$E$197,1)</f>
        <v>0.00699955099525667</v>
      </c>
    </row>
    <row r="21" customFormat="false" ht="12.8" hidden="false" customHeight="false" outlineLevel="0" collapsed="false">
      <c r="A21" s="0" t="n">
        <f aca="false">'Исходные данные'!A21</f>
        <v>0.709845</v>
      </c>
      <c r="B21" s="0" t="n">
        <f aca="false">'Исходные данные'!B21</f>
        <v>9.64455</v>
      </c>
      <c r="H21" s="0" t="n">
        <f aca="false">H20+6*$E$197/199</f>
        <v>-0.186515647780718</v>
      </c>
      <c r="I21" s="0" t="n">
        <f aca="false">_xlfn.NORM.DIST(H21,$E$196,$E$197,0)</f>
        <v>0.0723153588237612</v>
      </c>
      <c r="J21" s="0" t="n">
        <f aca="false">_xlfn.NORM.DIST(H21,$E$196,$E$197,1)</f>
        <v>0.00760928162804002</v>
      </c>
    </row>
    <row r="22" customFormat="false" ht="12.8" hidden="false" customHeight="false" outlineLevel="0" collapsed="false">
      <c r="A22" s="0" t="n">
        <f aca="false">'Исходные данные'!A22</f>
        <v>0.817932</v>
      </c>
      <c r="B22" s="0" t="n">
        <f aca="false">'Исходные данные'!B22</f>
        <v>10.4625</v>
      </c>
      <c r="H22" s="0" t="n">
        <f aca="false">H21+6*$E$197/199</f>
        <v>-0.177770523411392</v>
      </c>
      <c r="I22" s="0" t="n">
        <f aca="false">_xlfn.NORM.DIST(H22,$E$196,$E$197,0)</f>
        <v>0.077770483885488</v>
      </c>
      <c r="J22" s="0" t="n">
        <f aca="false">_xlfn.NORM.DIST(H22,$E$196,$E$197,1)</f>
        <v>0.00826530190673234</v>
      </c>
    </row>
    <row r="23" customFormat="false" ht="12.8" hidden="false" customHeight="false" outlineLevel="0" collapsed="false">
      <c r="A23" s="0" t="n">
        <f aca="false">'Исходные данные'!A23</f>
        <v>0.0212862</v>
      </c>
      <c r="B23" s="0" t="n">
        <f aca="false">'Исходные данные'!B23</f>
        <v>10.4838</v>
      </c>
      <c r="H23" s="0" t="n">
        <f aca="false">H22+6*$E$197/199</f>
        <v>-0.169025399042067</v>
      </c>
      <c r="I23" s="0" t="n">
        <f aca="false">_xlfn.NORM.DIST(H23,$E$196,$E$197,0)</f>
        <v>0.0835611202362412</v>
      </c>
      <c r="J23" s="0" t="n">
        <f aca="false">_xlfn.NORM.DIST(H23,$E$196,$E$197,1)</f>
        <v>0.00897048475545125</v>
      </c>
    </row>
    <row r="24" customFormat="false" ht="12.8" hidden="false" customHeight="false" outlineLevel="0" collapsed="false">
      <c r="A24" s="0" t="n">
        <f aca="false">'Исходные данные'!A24</f>
        <v>0.944932</v>
      </c>
      <c r="B24" s="0" t="n">
        <f aca="false">'Исходные данные'!B24</f>
        <v>11.4287</v>
      </c>
      <c r="H24" s="0" t="n">
        <f aca="false">H23+6*$E$197/199</f>
        <v>-0.160280274672741</v>
      </c>
      <c r="I24" s="0" t="n">
        <f aca="false">_xlfn.NORM.DIST(H24,$E$196,$E$197,0)</f>
        <v>0.0897013342278173</v>
      </c>
      <c r="J24" s="0" t="n">
        <f aca="false">_xlfn.NORM.DIST(H24,$E$196,$E$197,1)</f>
        <v>0.00972782571271057</v>
      </c>
    </row>
    <row r="25" customFormat="false" ht="12.8" hidden="false" customHeight="false" outlineLevel="0" collapsed="false">
      <c r="A25" s="0" t="n">
        <f aca="false">'Исходные данные'!A25</f>
        <v>0.371683</v>
      </c>
      <c r="B25" s="0" t="n">
        <f aca="false">'Исходные данные'!B25</f>
        <v>11.8004</v>
      </c>
      <c r="H25" s="0" t="n">
        <f aca="false">H24+6*$E$197/199</f>
        <v>-0.151535150303415</v>
      </c>
      <c r="I25" s="0" t="n">
        <f aca="false">_xlfn.NORM.DIST(H25,$E$196,$E$197,0)</f>
        <v>0.0962052447731208</v>
      </c>
      <c r="J25" s="0" t="n">
        <f aca="false">_xlfn.NORM.DIST(H25,$E$196,$E$197,1)</f>
        <v>0.0105404435934583</v>
      </c>
    </row>
    <row r="26" customFormat="false" ht="12.8" hidden="false" customHeight="false" outlineLevel="0" collapsed="false">
      <c r="A26" s="0" t="n">
        <f aca="false">'Исходные данные'!A26</f>
        <v>0.878309</v>
      </c>
      <c r="B26" s="0" t="n">
        <f aca="false">'Исходные данные'!B26</f>
        <v>12.6787</v>
      </c>
      <c r="H26" s="0" t="n">
        <f aca="false">H25+6*$E$197/199</f>
        <v>-0.14279002593409</v>
      </c>
      <c r="I26" s="0" t="n">
        <f aca="false">_xlfn.NORM.DIST(H26,$E$196,$E$197,0)</f>
        <v>0.103086974039866</v>
      </c>
      <c r="J26" s="0" t="n">
        <f aca="false">_xlfn.NORM.DIST(H26,$E$196,$E$197,1)</f>
        <v>0.0114115807357757</v>
      </c>
    </row>
    <row r="27" customFormat="false" ht="12.8" hidden="false" customHeight="false" outlineLevel="0" collapsed="false">
      <c r="A27" s="0" t="n">
        <f aca="false">'Исходные данные'!A27</f>
        <v>0.602046</v>
      </c>
      <c r="B27" s="0" t="n">
        <f aca="false">'Исходные данные'!B27</f>
        <v>13.2807</v>
      </c>
      <c r="H27" s="0" t="n">
        <f aca="false">H26+6*$E$197/199</f>
        <v>-0.134044901564764</v>
      </c>
      <c r="I27" s="0" t="n">
        <f aca="false">_xlfn.NORM.DIST(H27,$E$196,$E$197,0)</f>
        <v>0.110360594531316</v>
      </c>
      <c r="J27" s="0" t="n">
        <f aca="false">_xlfn.NORM.DIST(H27,$E$196,$E$197,1)</f>
        <v>0.0123446028005715</v>
      </c>
    </row>
    <row r="28" customFormat="false" ht="12.8" hidden="false" customHeight="false" outlineLevel="0" collapsed="false">
      <c r="A28" s="0" t="n">
        <f aca="false">'Исходные данные'!A28</f>
        <v>0.820565</v>
      </c>
      <c r="B28" s="0" t="n">
        <f aca="false">'Исходные данные'!B28</f>
        <v>14.1013</v>
      </c>
      <c r="H28" s="0" t="n">
        <f aca="false">H27+6*$E$197/199</f>
        <v>-0.125299777195438</v>
      </c>
      <c r="I28" s="0" t="n">
        <f aca="false">_xlfn.NORM.DIST(H28,$E$196,$E$197,0)</f>
        <v>0.118040072590908</v>
      </c>
      <c r="J28" s="0" t="n">
        <f aca="false">_xlfn.NORM.DIST(H28,$E$196,$E$197,1)</f>
        <v>0.013342998092817</v>
      </c>
    </row>
    <row r="29" customFormat="false" ht="12.8" hidden="false" customHeight="false" outlineLevel="0" collapsed="false">
      <c r="A29" s="0" t="n">
        <f aca="false">'Исходные данные'!A29</f>
        <v>0.101819</v>
      </c>
      <c r="B29" s="0" t="n">
        <f aca="false">'Исходные данные'!B29</f>
        <v>14.2031</v>
      </c>
      <c r="H29" s="0" t="n">
        <f aca="false">H28+6*$E$197/199</f>
        <v>-0.116554652826113</v>
      </c>
      <c r="I29" s="0" t="n">
        <f aca="false">_xlfn.NORM.DIST(H29,$E$196,$E$197,0)</f>
        <v>0.126139208393799</v>
      </c>
      <c r="J29" s="0" t="n">
        <f aca="false">_xlfn.NORM.DIST(H29,$E$196,$E$197,1)</f>
        <v>0.0144103763733056</v>
      </c>
    </row>
    <row r="30" customFormat="false" ht="12.8" hidden="false" customHeight="false" outlineLevel="0" collapsed="false">
      <c r="A30" s="0" t="n">
        <f aca="false">'Исходные данные'!A30</f>
        <v>0.820174</v>
      </c>
      <c r="B30" s="0" t="n">
        <f aca="false">'Исходные данные'!B30</f>
        <v>15.0233</v>
      </c>
      <c r="H30" s="0" t="n">
        <f aca="false">H29+6*$E$197/199</f>
        <v>-0.107809528456787</v>
      </c>
      <c r="I30" s="0" t="n">
        <f aca="false">_xlfn.NORM.DIST(H30,$E$196,$E$197,0)</f>
        <v>0.134671572515971</v>
      </c>
      <c r="J30" s="0" t="n">
        <f aca="false">_xlfn.NORM.DIST(H30,$E$196,$E$197,1)</f>
        <v>0.0155504671305895</v>
      </c>
    </row>
    <row r="31" customFormat="false" ht="12.8" hidden="false" customHeight="false" outlineLevel="0" collapsed="false">
      <c r="A31" s="0" t="n">
        <f aca="false">'Исходные данные'!A31</f>
        <v>0.286249</v>
      </c>
      <c r="B31" s="0" t="n">
        <f aca="false">'Исходные данные'!B31</f>
        <v>15.3095</v>
      </c>
      <c r="H31" s="0" t="n">
        <f aca="false">H30+6*$E$197/199</f>
        <v>-0.0990644040874611</v>
      </c>
      <c r="I31" s="0" t="n">
        <f aca="false">_xlfn.NORM.DIST(H31,$E$196,$E$197,0)</f>
        <v>0.143650439200367</v>
      </c>
      <c r="J31" s="0" t="n">
        <f aca="false">_xlfn.NORM.DIST(H31,$E$196,$E$197,1)</f>
        <v>0.0167671172836651</v>
      </c>
    </row>
    <row r="32" customFormat="false" ht="12.8" hidden="false" customHeight="false" outlineLevel="0" collapsed="false">
      <c r="A32" s="0" t="n">
        <f aca="false">'Исходные данные'!A32</f>
        <v>0.993986</v>
      </c>
      <c r="B32" s="0" t="n">
        <f aca="false">'Исходные данные'!B32</f>
        <v>16.3035</v>
      </c>
      <c r="H32" s="0" t="n">
        <f aca="false">H31+6*$E$197/199</f>
        <v>-0.0903192797181354</v>
      </c>
      <c r="I32" s="0" t="n">
        <f aca="false">_xlfn.NORM.DIST(H32,$E$196,$E$197,0)</f>
        <v>0.153088716469505</v>
      </c>
      <c r="J32" s="0" t="n">
        <f aca="false">_xlfn.NORM.DIST(H32,$E$196,$E$197,1)</f>
        <v>0.0180642882871531</v>
      </c>
    </row>
    <row r="33" customFormat="false" ht="12.8" hidden="false" customHeight="false" outlineLevel="0" collapsed="false">
      <c r="A33" s="0" t="n">
        <f aca="false">'Исходные данные'!A33</f>
        <v>0.20081</v>
      </c>
      <c r="B33" s="0" t="n">
        <f aca="false">'Исходные данные'!B33</f>
        <v>16.5043</v>
      </c>
      <c r="H33" s="0" t="n">
        <f aca="false">H32+6*$E$197/199</f>
        <v>-0.0815741553488098</v>
      </c>
      <c r="I33" s="0" t="n">
        <f aca="false">_xlfn.NORM.DIST(H33,$E$196,$E$197,0)</f>
        <v>0.162998873264923</v>
      </c>
      <c r="J33" s="0" t="n">
        <f aca="false">_xlfn.NORM.DIST(H33,$E$196,$E$197,1)</f>
        <v>0.0194460526121626</v>
      </c>
    </row>
    <row r="34" customFormat="false" ht="12.8" hidden="false" customHeight="false" outlineLevel="0" collapsed="false">
      <c r="A34" s="0" t="n">
        <f aca="false">'Исходные данные'!A34</f>
        <v>0.722026</v>
      </c>
      <c r="B34" s="0" t="n">
        <f aca="false">'Исходные данные'!B34</f>
        <v>17.2264</v>
      </c>
      <c r="H34" s="0" t="n">
        <f aca="false">H33+6*$E$197/199</f>
        <v>-0.0728290309794841</v>
      </c>
      <c r="I34" s="0" t="n">
        <f aca="false">_xlfn.NORM.DIST(H34,$E$196,$E$197,0)</f>
        <v>0.173392863825403</v>
      </c>
      <c r="J34" s="0" t="n">
        <f aca="false">_xlfn.NORM.DIST(H34,$E$196,$E$197,1)</f>
        <v>0.020916589577739</v>
      </c>
    </row>
    <row r="35" customFormat="false" ht="12.8" hidden="false" customHeight="false" outlineLevel="0" collapsed="false">
      <c r="A35" s="0" t="n">
        <f aca="false">'Исходные данные'!A35</f>
        <v>0.553061</v>
      </c>
      <c r="B35" s="0" t="n">
        <f aca="false">'Исходные данные'!B35</f>
        <v>17.7794</v>
      </c>
      <c r="H35" s="0" t="n">
        <f aca="false">H34+6*$E$197/199</f>
        <v>-0.0640839066101584</v>
      </c>
      <c r="I35" s="0" t="n">
        <f aca="false">_xlfn.NORM.DIST(H35,$E$196,$E$197,0)</f>
        <v>0.184282049548126</v>
      </c>
      <c r="J35" s="0" t="n">
        <f aca="false">_xlfn.NORM.DIST(H35,$E$196,$E$197,1)</f>
        <v>0.0224801805097962</v>
      </c>
    </row>
    <row r="36" customFormat="false" ht="12.8" hidden="false" customHeight="false" outlineLevel="0" collapsed="false">
      <c r="A36" s="0" t="n">
        <f aca="false">'Исходные данные'!A36</f>
        <v>0.423688</v>
      </c>
      <c r="B36" s="0" t="n">
        <f aca="false">'Исходные данные'!B36</f>
        <v>18.2031</v>
      </c>
      <c r="H36" s="0" t="n">
        <f aca="false">H35+6*$E$197/199</f>
        <v>-0.0553387822408327</v>
      </c>
      <c r="I36" s="0" t="n">
        <f aca="false">_xlfn.NORM.DIST(H36,$E$196,$E$197,0)</f>
        <v>0.195677118609262</v>
      </c>
      <c r="J36" s="0" t="n">
        <f aca="false">_xlfn.NORM.DIST(H36,$E$196,$E$197,1)</f>
        <v>0.024141203206703</v>
      </c>
    </row>
    <row r="37" customFormat="false" ht="12.8" hidden="false" customHeight="false" outlineLevel="0" collapsed="false">
      <c r="A37" s="0" t="n">
        <f aca="false">'Исходные данные'!A37</f>
        <v>0.935531</v>
      </c>
      <c r="B37" s="0" t="n">
        <f aca="false">'Исходные данные'!B37</f>
        <v>19.1386</v>
      </c>
      <c r="H37" s="0" t="n">
        <f aca="false">H36+6*$E$197/199</f>
        <v>-0.046593657871507</v>
      </c>
      <c r="I37" s="0" t="n">
        <f aca="false">_xlfn.NORM.DIST(H37,$E$196,$E$197,0)</f>
        <v>0.207588003653037</v>
      </c>
      <c r="J37" s="0" t="n">
        <f aca="false">_xlfn.NORM.DIST(H37,$E$196,$E$197,1)</f>
        <v>0.02590412569326</v>
      </c>
    </row>
    <row r="38" customFormat="false" ht="12.8" hidden="false" customHeight="false" outlineLevel="0" collapsed="false">
      <c r="A38" s="0" t="n">
        <f aca="false">'Исходные данные'!A38</f>
        <v>0.722042</v>
      </c>
      <c r="B38" s="0" t="n">
        <f aca="false">'Исходные данные'!B38</f>
        <v>19.8607</v>
      </c>
      <c r="H38" s="0" t="n">
        <f aca="false">H37+6*$E$197/199</f>
        <v>-0.0378485335021813</v>
      </c>
      <c r="I38" s="0" t="n">
        <f aca="false">_xlfn.NORM.DIST(H38,$E$196,$E$197,0)</f>
        <v>0.220023797890444</v>
      </c>
      <c r="J38" s="0" t="n">
        <f aca="false">_xlfn.NORM.DIST(H38,$E$196,$E$197,1)</f>
        <v>0.0277734992476424</v>
      </c>
    </row>
    <row r="39" customFormat="false" ht="12.8" hidden="false" customHeight="false" outlineLevel="0" collapsed="false">
      <c r="A39" s="0" t="n">
        <f aca="false">'Исходные данные'!A39</f>
        <v>0.917558</v>
      </c>
      <c r="B39" s="0" t="n">
        <f aca="false">'Исходные данные'!B39</f>
        <v>20.7782</v>
      </c>
      <c r="H39" s="0" t="n">
        <f aca="false">H38+6*$E$197/199</f>
        <v>-0.0291034091328556</v>
      </c>
      <c r="I39" s="0" t="n">
        <f aca="false">_xlfn.NORM.DIST(H39,$E$196,$E$197,0)</f>
        <v>0.232992669980507</v>
      </c>
      <c r="J39" s="0" t="n">
        <f aca="false">_xlfn.NORM.DIST(H39,$E$196,$E$197,1)</f>
        <v>0.029753950689009</v>
      </c>
    </row>
    <row r="40" customFormat="false" ht="12.8" hidden="false" customHeight="false" outlineLevel="0" collapsed="false">
      <c r="A40" s="0" t="n">
        <f aca="false">'Исходные данные'!A40</f>
        <v>0.623181</v>
      </c>
      <c r="B40" s="0" t="n">
        <f aca="false">'Исходные данные'!B40</f>
        <v>21.4014</v>
      </c>
      <c r="H40" s="0" t="n">
        <f aca="false">H39+6*$E$197/199</f>
        <v>-0.0203582847635299</v>
      </c>
      <c r="I40" s="0" t="n">
        <f aca="false">_xlfn.NORM.DIST(H40,$E$196,$E$197,0)</f>
        <v>0.246501778097779</v>
      </c>
      <c r="J40" s="0" t="n">
        <f aca="false">_xlfn.NORM.DIST(H40,$E$196,$E$197,1)</f>
        <v>0.0318501739168741</v>
      </c>
    </row>
    <row r="41" customFormat="false" ht="12.8" hidden="false" customHeight="false" outlineLevel="0" collapsed="false">
      <c r="A41" s="0" t="n">
        <f aca="false">'Исходные данные'!A41</f>
        <v>0.854547</v>
      </c>
      <c r="B41" s="0" t="n">
        <f aca="false">'Исходные данные'!B41</f>
        <v>22.256</v>
      </c>
      <c r="H41" s="0" t="n">
        <f aca="false">H40+6*$E$197/199</f>
        <v>-0.0116131603942042</v>
      </c>
      <c r="I41" s="0" t="n">
        <f aca="false">_xlfn.NORM.DIST(H41,$E$196,$E$197,0)</f>
        <v>0.260557183619514</v>
      </c>
      <c r="J41" s="0" t="n">
        <f aca="false">_xlfn.NORM.DIST(H41,$E$196,$E$197,1)</f>
        <v>0.0340669206969997</v>
      </c>
    </row>
    <row r="42" customFormat="false" ht="12.8" hidden="false" customHeight="false" outlineLevel="0" collapsed="false">
      <c r="A42" s="0" t="n">
        <f aca="false">'Исходные данные'!A42</f>
        <v>0.183041</v>
      </c>
      <c r="B42" s="0" t="n">
        <f aca="false">'Исходные данные'!B42</f>
        <v>22.439</v>
      </c>
      <c r="H42" s="0" t="n">
        <f aca="false">H41+6*$E$197/199</f>
        <v>-0.00286803602487856</v>
      </c>
      <c r="I42" s="0" t="n">
        <f aca="false">_xlfn.NORM.DIST(H42,$E$196,$E$197,0)</f>
        <v>0.275163764894118</v>
      </c>
      <c r="J42" s="0" t="n">
        <f aca="false">_xlfn.NORM.DIST(H42,$E$196,$E$197,1)</f>
        <v>0.03640899069248</v>
      </c>
    </row>
    <row r="43" customFormat="false" ht="12.8" hidden="false" customHeight="false" outlineLevel="0" collapsed="false">
      <c r="A43" s="0" t="n">
        <f aca="false">'Исходные данные'!A43</f>
        <v>0.688096</v>
      </c>
      <c r="B43" s="0" t="n">
        <f aca="false">'Исходные данные'!B43</f>
        <v>23.1271</v>
      </c>
      <c r="H43" s="0" t="n">
        <f aca="false">H42+6*$E$197/199</f>
        <v>0.00587708834444713</v>
      </c>
      <c r="I43" s="0" t="n">
        <f aca="false">_xlfn.NORM.DIST(H43,$E$196,$E$197,0)</f>
        <v>0.290325131578986</v>
      </c>
      <c r="J43" s="0" t="n">
        <f aca="false">_xlfn.NORM.DIST(H43,$E$196,$E$197,1)</f>
        <v>0.0388812207428453</v>
      </c>
    </row>
    <row r="44" customFormat="false" ht="12.8" hidden="false" customHeight="false" outlineLevel="0" collapsed="false">
      <c r="A44" s="0" t="n">
        <f aca="false">'Исходные данные'!A44</f>
        <v>0.0572111</v>
      </c>
      <c r="B44" s="0" t="n">
        <f aca="false">'Исходные данные'!B44</f>
        <v>23.1843</v>
      </c>
      <c r="H44" s="0" t="n">
        <f aca="false">H43+6*$E$197/199</f>
        <v>0.0146222127137728</v>
      </c>
      <c r="I44" s="0" t="n">
        <f aca="false">_xlfn.NORM.DIST(H44,$E$196,$E$197,0)</f>
        <v>0.306043540060106</v>
      </c>
      <c r="J44" s="0" t="n">
        <f aca="false">_xlfn.NORM.DIST(H44,$E$196,$E$197,1)</f>
        <v>0.0414884733983885</v>
      </c>
    </row>
    <row r="45" customFormat="false" ht="12.8" hidden="false" customHeight="false" outlineLevel="0" collapsed="false">
      <c r="A45" s="0" t="n">
        <f aca="false">'Исходные данные'!A45</f>
        <v>0.775714</v>
      </c>
      <c r="B45" s="0" t="n">
        <f aca="false">'Исходные данные'!B45</f>
        <v>23.96</v>
      </c>
      <c r="H45" s="0" t="n">
        <f aca="false">H44+6*$E$197/199</f>
        <v>0.0233673370830985</v>
      </c>
      <c r="I45" s="0" t="n">
        <f aca="false">_xlfn.NORM.DIST(H45,$E$196,$E$197,0)</f>
        <v>0.32231981048774</v>
      </c>
      <c r="J45" s="0" t="n">
        <f aca="false">_xlfn.NORM.DIST(H45,$E$196,$E$197,1)</f>
        <v>0.0442356247214937</v>
      </c>
    </row>
    <row r="46" customFormat="false" ht="12.8" hidden="false" customHeight="false" outlineLevel="0" collapsed="false">
      <c r="A46" s="0" t="n">
        <f aca="false">'Исходные данные'!A46</f>
        <v>0.701783</v>
      </c>
      <c r="B46" s="0" t="n">
        <f aca="false">'Исходные данные'!B46</f>
        <v>24.6618</v>
      </c>
      <c r="H46" s="0" t="n">
        <f aca="false">H45+6*$E$197/199</f>
        <v>0.0321124614524242</v>
      </c>
      <c r="I46" s="0" t="n">
        <f aca="false">_xlfn.NORM.DIST(H46,$E$196,$E$197,0)</f>
        <v>0.339153245981588</v>
      </c>
      <c r="J46" s="0" t="n">
        <f aca="false">_xlfn.NORM.DIST(H46,$E$196,$E$197,1)</f>
        <v>0.0471275513715099</v>
      </c>
    </row>
    <row r="47" customFormat="false" ht="12.8" hidden="false" customHeight="false" outlineLevel="0" collapsed="false">
      <c r="A47" s="0" t="n">
        <f aca="false">'Исходные данные'!A47</f>
        <v>0.159357</v>
      </c>
      <c r="B47" s="0" t="n">
        <f aca="false">'Исходные данные'!B47</f>
        <v>24.8212</v>
      </c>
      <c r="H47" s="0" t="n">
        <f aca="false">H46+6*$E$197/199</f>
        <v>0.0408575858217499</v>
      </c>
      <c r="I47" s="0" t="n">
        <f aca="false">_xlfn.NORM.DIST(H47,$E$196,$E$197,0)</f>
        <v>0.356541554574905</v>
      </c>
      <c r="J47" s="0" t="n">
        <f aca="false">_xlfn.NORM.DIST(H47,$E$196,$E$197,1)</f>
        <v>0.0501691169946192</v>
      </c>
    </row>
    <row r="48" customFormat="false" ht="12.8" hidden="false" customHeight="false" outlineLevel="0" collapsed="false">
      <c r="A48" s="0" t="n">
        <f aca="false">'Исходные данные'!A48</f>
        <v>0.0995737</v>
      </c>
      <c r="B48" s="0" t="n">
        <f aca="false">'Исходные данные'!B48</f>
        <v>24.9208</v>
      </c>
      <c r="H48" s="0" t="n">
        <f aca="false">H47+6*$E$197/199</f>
        <v>0.0496027101910756</v>
      </c>
      <c r="I48" s="0" t="n">
        <f aca="false">_xlfn.NORM.DIST(H48,$E$196,$E$197,0)</f>
        <v>0.374480774479698</v>
      </c>
      <c r="J48" s="0" t="n">
        <f aca="false">_xlfn.NORM.DIST(H48,$E$196,$E$197,1)</f>
        <v>0.0533651579451894</v>
      </c>
    </row>
    <row r="49" customFormat="false" ht="12.8" hidden="false" customHeight="false" outlineLevel="0" collapsed="false">
      <c r="A49" s="0" t="n">
        <f aca="false">'Исходные данные'!A49</f>
        <v>0.560905</v>
      </c>
      <c r="B49" s="0" t="n">
        <f aca="false">'Исходные данные'!B49</f>
        <v>25.4817</v>
      </c>
      <c r="H49" s="0" t="n">
        <f aca="false">H48+6*$E$197/199</f>
        <v>0.0583478345604013</v>
      </c>
      <c r="I49" s="0" t="n">
        <f aca="false">_xlfn.NORM.DIST(H49,$E$196,$E$197,0)</f>
        <v>0.392965203264155</v>
      </c>
      <c r="J49" s="0" t="n">
        <f aca="false">_xlfn.NORM.DIST(H49,$E$196,$E$197,1)</f>
        <v>0.0567204683702362</v>
      </c>
    </row>
    <row r="50" customFormat="false" ht="12.8" hidden="false" customHeight="false" outlineLevel="0" collapsed="false">
      <c r="A50" s="0" t="n">
        <f aca="false">'Исходные данные'!A50</f>
        <v>0.347255</v>
      </c>
      <c r="B50" s="0" t="n">
        <f aca="false">'Исходные данные'!B50</f>
        <v>25.8289</v>
      </c>
      <c r="H50" s="0" t="n">
        <f aca="false">H49+6*$E$197/199</f>
        <v>0.067092958929727</v>
      </c>
      <c r="I50" s="0" t="n">
        <f aca="false">_xlfn.NORM.DIST(H50,$E$196,$E$197,0)</f>
        <v>0.411987331538493</v>
      </c>
      <c r="J50" s="0" t="n">
        <f aca="false">_xlfn.NORM.DIST(H50,$E$196,$E$197,1)</f>
        <v>0.0602397846938103</v>
      </c>
    </row>
    <row r="51" customFormat="false" ht="12.8" hidden="false" customHeight="false" outlineLevel="0" collapsed="false">
      <c r="A51" s="0" t="n">
        <f aca="false">'Исходные данные'!A51</f>
        <v>0.539348</v>
      </c>
      <c r="B51" s="0" t="n">
        <f aca="false">'Исходные данные'!B51</f>
        <v>26.3683</v>
      </c>
      <c r="H51" s="0" t="n">
        <f aca="false">H50+6*$E$197/199</f>
        <v>0.0758380832990526</v>
      </c>
      <c r="I51" s="0" t="n">
        <f aca="false">_xlfn.NORM.DIST(H51,$E$196,$E$197,0)</f>
        <v>0.431537781746338</v>
      </c>
      <c r="J51" s="0" t="n">
        <f aca="false">_xlfn.NORM.DIST(H51,$E$196,$E$197,1)</f>
        <v>0.0639277695433487</v>
      </c>
    </row>
    <row r="52" customFormat="false" ht="12.8" hidden="false" customHeight="false" outlineLevel="0" collapsed="false">
      <c r="A52" s="0" t="n">
        <f aca="false">'Исходные данные'!A52</f>
        <v>0.801053</v>
      </c>
      <c r="B52" s="0" t="n">
        <f aca="false">'Исходные данные'!B52</f>
        <v>27.1693</v>
      </c>
      <c r="H52" s="0" t="n">
        <f aca="false">H51+6*$E$197/199</f>
        <v>0.0845832076683783</v>
      </c>
      <c r="I52" s="0" t="n">
        <f aca="false">_xlfn.NORM.DIST(H52,$E$196,$E$197,0)</f>
        <v>0.451605252655208</v>
      </c>
      <c r="J52" s="0" t="n">
        <f aca="false">_xlfn.NORM.DIST(H52,$E$196,$E$197,1)</f>
        <v>0.0677889951652392</v>
      </c>
    </row>
    <row r="53" customFormat="false" ht="12.8" hidden="false" customHeight="false" outlineLevel="0" collapsed="false">
      <c r="A53" s="0" t="n">
        <f aca="false">'Исходные данные'!A53</f>
        <v>0.861269</v>
      </c>
      <c r="B53" s="0" t="n">
        <f aca="false">'Исходные данные'!B53</f>
        <v>28.0306</v>
      </c>
      <c r="H53" s="0" t="n">
        <f aca="false">H52+6*$E$197/199</f>
        <v>0.093328332037704</v>
      </c>
      <c r="I53" s="0" t="n">
        <f aca="false">_xlfn.NORM.DIST(H53,$E$196,$E$197,0)</f>
        <v>0.472176470131573</v>
      </c>
      <c r="J53" s="0" t="n">
        <f aca="false">_xlfn.NORM.DIST(H53,$E$196,$E$197,1)</f>
        <v>0.0718279263820031</v>
      </c>
    </row>
    <row r="54" customFormat="false" ht="12.8" hidden="false" customHeight="false" outlineLevel="0" collapsed="false">
      <c r="A54" s="0" t="n">
        <f aca="false">'Исходные данные'!A54</f>
        <v>0.63994</v>
      </c>
      <c r="B54" s="0" t="n">
        <f aca="false">'Исходные данные'!B54</f>
        <v>28.6705</v>
      </c>
      <c r="H54" s="0" t="n">
        <f aca="false">H53+6*$E$197/199</f>
        <v>0.10207345640703</v>
      </c>
      <c r="I54" s="0" t="n">
        <f aca="false">_xlfn.NORM.DIST(H54,$E$196,$E$197,0)</f>
        <v>0.493236144773148</v>
      </c>
      <c r="J54" s="0" t="n">
        <f aca="false">_xlfn.NORM.DIST(H54,$E$196,$E$197,1)</f>
        <v>0.0760489031485733</v>
      </c>
    </row>
    <row r="55" customFormat="false" ht="12.8" hidden="false" customHeight="false" outlineLevel="0" collapsed="false">
      <c r="A55" s="0" t="n">
        <f aca="false">'Исходные данные'!A55</f>
        <v>0.81064</v>
      </c>
      <c r="B55" s="0" t="n">
        <f aca="false">'Исходные данные'!B55</f>
        <v>29.4812</v>
      </c>
      <c r="H55" s="0" t="n">
        <f aca="false">H54+6*$E$197/199</f>
        <v>0.110818580776355</v>
      </c>
      <c r="I55" s="0" t="n">
        <f aca="false">_xlfn.NORM.DIST(H55,$E$196,$E$197,0)</f>
        <v>0.514766936953301</v>
      </c>
      <c r="J55" s="0" t="n">
        <f aca="false">_xlfn.NORM.DIST(H55,$E$196,$E$197,1)</f>
        <v>0.0804561227700735</v>
      </c>
    </row>
    <row r="56" customFormat="false" ht="12.8" hidden="false" customHeight="false" outlineLevel="0" collapsed="false">
      <c r="A56" s="0" t="n">
        <f aca="false">'Исходные данные'!A56</f>
        <v>0.38527</v>
      </c>
      <c r="B56" s="0" t="n">
        <f aca="false">'Исходные данные'!B56</f>
        <v>29.8664</v>
      </c>
      <c r="H56" s="0" t="n">
        <f aca="false">H55+6*$E$197/199</f>
        <v>0.119563705145681</v>
      </c>
      <c r="I56" s="0" t="n">
        <f aca="false">_xlfn.NORM.DIST(H56,$E$196,$E$197,0)</f>
        <v>0.536749429809857</v>
      </c>
      <c r="J56" s="0" t="n">
        <f aca="false">_xlfn.NORM.DIST(H56,$E$196,$E$197,1)</f>
        <v>0.0850536218482657</v>
      </c>
    </row>
    <row r="57" customFormat="false" ht="12.8" hidden="false" customHeight="false" outlineLevel="0" collapsed="false">
      <c r="A57" s="0" t="n">
        <f aca="false">'Исходные данные'!A57</f>
        <v>0.738261</v>
      </c>
      <c r="B57" s="0" t="n">
        <f aca="false">'Исходные данные'!B57</f>
        <v>30.6047</v>
      </c>
      <c r="H57" s="0" t="n">
        <f aca="false">H56+6*$E$197/199</f>
        <v>0.128308829515007</v>
      </c>
      <c r="I57" s="0" t="n">
        <f aca="false">_xlfn.NORM.DIST(H57,$E$196,$E$197,0)</f>
        <v>0.55916211068289</v>
      </c>
      <c r="J57" s="0" t="n">
        <f aca="false">_xlfn.NORM.DIST(H57,$E$196,$E$197,1)</f>
        <v>0.089845258028369</v>
      </c>
    </row>
    <row r="58" customFormat="false" ht="12.8" hidden="false" customHeight="false" outlineLevel="0" collapsed="false">
      <c r="A58" s="0" t="n">
        <f aca="false">'Исходные данные'!A58</f>
        <v>0.321726</v>
      </c>
      <c r="B58" s="0" t="n">
        <f aca="false">'Исходные данные'!B58</f>
        <v>30.9264</v>
      </c>
      <c r="H58" s="0" t="n">
        <f aca="false">H57+6*$E$197/199</f>
        <v>0.137053953884332</v>
      </c>
      <c r="I58" s="0" t="n">
        <f aca="false">_xlfn.NORM.DIST(H58,$E$196,$E$197,0)</f>
        <v>0.581981361473495</v>
      </c>
      <c r="J58" s="0" t="n">
        <f aca="false">_xlfn.NORM.DIST(H58,$E$196,$E$197,1)</f>
        <v>0.0948346916222255</v>
      </c>
    </row>
    <row r="59" customFormat="false" ht="12.8" hidden="false" customHeight="false" outlineLevel="0" collapsed="false">
      <c r="A59" s="0" t="n">
        <f aca="false">'Исходные данные'!A59</f>
        <v>0.754328</v>
      </c>
      <c r="B59" s="0" t="n">
        <f aca="false">'Исходные данные'!B59</f>
        <v>31.6807</v>
      </c>
      <c r="H59" s="0" t="n">
        <f aca="false">H58+6*$E$197/199</f>
        <v>0.145799078253658</v>
      </c>
      <c r="I59" s="0" t="n">
        <f aca="false">_xlfn.NORM.DIST(H59,$E$196,$E$197,0)</f>
        <v>0.605181458357962</v>
      </c>
      <c r="J59" s="0" t="n">
        <f aca="false">_xlfn.NORM.DIST(H59,$E$196,$E$197,1)</f>
        <v>0.100025367187758</v>
      </c>
    </row>
    <row r="60" customFormat="false" ht="12.8" hidden="false" customHeight="false" outlineLevel="0" collapsed="false">
      <c r="A60" s="0" t="n">
        <f aca="false">'Исходные данные'!A60</f>
        <v>0.989224</v>
      </c>
      <c r="B60" s="0" t="n">
        <f aca="false">'Исходные данные'!B60</f>
        <v>32.67</v>
      </c>
      <c r="H60" s="0" t="n">
        <f aca="false">H59+6*$E$197/199</f>
        <v>0.154544202622984</v>
      </c>
      <c r="I60" s="0" t="n">
        <f aca="false">_xlfn.NORM.DIST(H60,$E$196,$E$197,0)</f>
        <v>0.628734581249413</v>
      </c>
      <c r="J60" s="0" t="n">
        <f aca="false">_xlfn.NORM.DIST(H60,$E$196,$E$197,1)</f>
        <v>0.105420495148282</v>
      </c>
    </row>
    <row r="61" customFormat="false" ht="12.8" hidden="false" customHeight="false" outlineLevel="0" collapsed="false">
      <c r="A61" s="0" t="n">
        <f aca="false">'Исходные данные'!A61</f>
        <v>0.801059</v>
      </c>
      <c r="B61" s="0" t="n">
        <f aca="false">'Исходные данные'!B61</f>
        <v>33.471</v>
      </c>
      <c r="H61" s="0" t="n">
        <f aca="false">H60+6*$E$197/199</f>
        <v>0.16328932699231</v>
      </c>
      <c r="I61" s="0" t="n">
        <f aca="false">_xlfn.NORM.DIST(H61,$E$196,$E$197,0)</f>
        <v>0.652610833351913</v>
      </c>
      <c r="J61" s="0" t="n">
        <f aca="false">_xlfn.NORM.DIST(H61,$E$196,$E$197,1)</f>
        <v>0.111023033538452</v>
      </c>
    </row>
    <row r="62" customFormat="false" ht="12.8" hidden="false" customHeight="false" outlineLevel="0" collapsed="false">
      <c r="A62" s="0" t="n">
        <f aca="false">'Исходные данные'!A62</f>
        <v>0.826419</v>
      </c>
      <c r="B62" s="0" t="n">
        <f aca="false">'Исходные данные'!B62</f>
        <v>34.2974</v>
      </c>
      <c r="H62" s="0" t="n">
        <f aca="false">H61+6*$E$197/199</f>
        <v>0.172034451361635</v>
      </c>
      <c r="I62" s="0" t="n">
        <f aca="false">_xlfn.NORM.DIST(H62,$E$196,$E$197,0)</f>
        <v>0.676778271100517</v>
      </c>
      <c r="J62" s="0" t="n">
        <f aca="false">_xlfn.NORM.DIST(H62,$E$196,$E$197,1)</f>
        <v>0.116835669966439</v>
      </c>
    </row>
    <row r="63" customFormat="false" ht="12.8" hidden="false" customHeight="false" outlineLevel="0" collapsed="false">
      <c r="A63" s="0" t="n">
        <f aca="false">'Исходные данные'!A63</f>
        <v>0.673352</v>
      </c>
      <c r="B63" s="0" t="n">
        <f aca="false">'Исходные данные'!B63</f>
        <v>34.9708</v>
      </c>
      <c r="H63" s="0" t="n">
        <f aca="false">H62+6*$E$197/199</f>
        <v>0.180779575730961</v>
      </c>
      <c r="I63" s="0" t="n">
        <f aca="false">_xlfn.NORM.DIST(H63,$E$196,$E$197,0)</f>
        <v>0.701202944725006</v>
      </c>
      <c r="J63" s="0" t="n">
        <f aca="false">_xlfn.NORM.DIST(H63,$E$196,$E$197,1)</f>
        <v>0.122860803884231</v>
      </c>
    </row>
    <row r="64" customFormat="false" ht="12.8" hidden="false" customHeight="false" outlineLevel="0" collapsed="false">
      <c r="A64" s="0" t="n">
        <f aca="false">'Исходные данные'!A64</f>
        <v>0.996031</v>
      </c>
      <c r="B64" s="0" t="n">
        <f aca="false">'Исходные данные'!B64</f>
        <v>35.9668</v>
      </c>
      <c r="H64" s="0" t="n">
        <f aca="false">H63+6*$E$197/199</f>
        <v>0.189524700100287</v>
      </c>
      <c r="I64" s="0" t="n">
        <f aca="false">_xlfn.NORM.DIST(H64,$E$196,$E$197,0)</f>
        <v>0.725848949615329</v>
      </c>
      <c r="J64" s="0" t="n">
        <f aca="false">_xlfn.NORM.DIST(H64,$E$196,$E$197,1)</f>
        <v>0.129100529259793</v>
      </c>
    </row>
    <row r="65" customFormat="false" ht="12.8" hidden="false" customHeight="false" outlineLevel="0" collapsed="false">
      <c r="A65" s="0" t="n">
        <f aca="false">'Исходные данные'!A65</f>
        <v>0.176261</v>
      </c>
      <c r="B65" s="0" t="n">
        <f aca="false">'Исходные данные'!B65</f>
        <v>36.1431</v>
      </c>
      <c r="H65" s="0" t="n">
        <f aca="false">H64+6*$E$197/199</f>
        <v>0.198269824469612</v>
      </c>
      <c r="I65" s="0" t="n">
        <f aca="false">_xlfn.NORM.DIST(H65,$E$196,$E$197,0)</f>
        <v>0.750678488603562</v>
      </c>
      <c r="J65" s="0" t="n">
        <f aca="false">_xlfn.NORM.DIST(H65,$E$196,$E$197,1)</f>
        <v>0.135556617746102</v>
      </c>
    </row>
    <row r="66" customFormat="false" ht="12.8" hidden="false" customHeight="false" outlineLevel="0" collapsed="false">
      <c r="A66" s="0" t="n">
        <f aca="false">'Исходные данные'!A66</f>
        <v>0.193632</v>
      </c>
      <c r="B66" s="0" t="n">
        <f aca="false">'Исходные данные'!B66</f>
        <v>36.3367</v>
      </c>
      <c r="H66" s="0" t="n">
        <f aca="false">H65+6*$E$197/199</f>
        <v>0.207014948838938</v>
      </c>
      <c r="I66" s="0" t="n">
        <f aca="false">_xlfn.NORM.DIST(H66,$E$196,$E$197,0)</f>
        <v>0.775651945210685</v>
      </c>
      <c r="J66" s="0" t="n">
        <f aca="false">_xlfn.NORM.DIST(H66,$E$196,$E$197,1)</f>
        <v>0.142230502442773</v>
      </c>
    </row>
    <row r="67" customFormat="false" ht="12.8" hidden="false" customHeight="false" outlineLevel="0" collapsed="false">
      <c r="A67" s="0" t="n">
        <f aca="false">'Исходные данные'!A67</f>
        <v>0.0213317</v>
      </c>
      <c r="B67" s="0" t="n">
        <f aca="false">'Исходные данные'!B67</f>
        <v>36.3581</v>
      </c>
      <c r="H67" s="0" t="n">
        <f aca="false">H66+6*$E$197/199</f>
        <v>0.215760073208264</v>
      </c>
      <c r="I67" s="0" t="n">
        <f aca="false">_xlfn.NORM.DIST(H67,$E$196,$E$197,0)</f>
        <v>0.800727967837316</v>
      </c>
      <c r="J67" s="0" t="n">
        <f aca="false">_xlfn.NORM.DIST(H67,$E$196,$E$197,1)</f>
        <v>0.149123262346141</v>
      </c>
    </row>
    <row r="68" customFormat="false" ht="12.8" hidden="false" customHeight="false" outlineLevel="0" collapsed="false">
      <c r="A68" s="0" t="n">
        <f aca="false">'Исходные данные'!A68</f>
        <v>0.21521</v>
      </c>
      <c r="B68" s="0" t="n">
        <f aca="false">'Исходные данные'!B68</f>
        <v>36.5733</v>
      </c>
      <c r="H68" s="0" t="n">
        <f aca="false">H67+6*$E$197/199</f>
        <v>0.22450519757759</v>
      </c>
      <c r="I68" s="0" t="n">
        <f aca="false">_xlfn.NORM.DIST(H68,$E$196,$E$197,0)</f>
        <v>0.825863564806041</v>
      </c>
      <c r="J68" s="0" t="n">
        <f aca="false">_xlfn.NORM.DIST(H68,$E$196,$E$197,1)</f>
        <v>0.156235607583131</v>
      </c>
    </row>
    <row r="69" customFormat="false" ht="12.8" hidden="false" customHeight="false" outlineLevel="0" collapsed="false">
      <c r="A69" s="0" t="n">
        <f aca="false">'Исходные данные'!A69</f>
        <v>0.142185</v>
      </c>
      <c r="B69" s="0" t="n">
        <f aca="false">'Исходные данные'!B69</f>
        <v>36.7155</v>
      </c>
      <c r="H69" s="0" t="n">
        <f aca="false">H68+6*$E$197/199</f>
        <v>0.233250321946915</v>
      </c>
      <c r="I69" s="0" t="n">
        <f aca="false">_xlfn.NORM.DIST(H69,$E$196,$E$197,0)</f>
        <v>0.8510142100897</v>
      </c>
      <c r="J69" s="0" t="n">
        <f aca="false">_xlfn.NORM.DIST(H69,$E$196,$E$197,1)</f>
        <v>0.163567865523169</v>
      </c>
    </row>
    <row r="70" customFormat="false" ht="12.8" hidden="false" customHeight="false" outlineLevel="0" collapsed="false">
      <c r="A70" s="0" t="n">
        <f aca="false">'Исходные данные'!A70</f>
        <v>0.601422</v>
      </c>
      <c r="B70" s="0" t="n">
        <f aca="false">'Исходные данные'!B70</f>
        <v>37.3169</v>
      </c>
      <c r="H70" s="0" t="n">
        <f aca="false">H69+6*$E$197/199</f>
        <v>0.241995446316241</v>
      </c>
      <c r="I70" s="0" t="n">
        <f aca="false">_xlfn.NORM.DIST(H70,$E$196,$E$197,0)</f>
        <v>0.876133959485599</v>
      </c>
      <c r="J70" s="0" t="n">
        <f aca="false">_xlfn.NORM.DIST(H70,$E$196,$E$197,1)</f>
        <v>0.171119967860574</v>
      </c>
    </row>
    <row r="71" customFormat="false" ht="12.8" hidden="false" customHeight="false" outlineLevel="0" collapsed="false">
      <c r="A71" s="0" t="n">
        <f aca="false">'Исходные данные'!A71</f>
        <v>0.150841</v>
      </c>
      <c r="B71" s="0" t="n">
        <f aca="false">'Исходные данные'!B71</f>
        <v>37.4677</v>
      </c>
      <c r="H71" s="0" t="n">
        <f aca="false">H70+6*$E$197/199</f>
        <v>0.250740570685567</v>
      </c>
      <c r="I71" s="0" t="n">
        <f aca="false">_xlfn.NORM.DIST(H71,$E$196,$E$197,0)</f>
        <v>0.901175576920457</v>
      </c>
      <c r="J71" s="0" t="n">
        <f aca="false">_xlfn.NORM.DIST(H71,$E$196,$E$197,1)</f>
        <v>0.178891438757462</v>
      </c>
    </row>
    <row r="72" customFormat="false" ht="12.8" hidden="false" customHeight="false" outlineLevel="0" collapsed="false">
      <c r="A72" s="0" t="n">
        <f aca="false">'Исходные данные'!A72</f>
        <v>0.979656</v>
      </c>
      <c r="B72" s="0" t="n">
        <f aca="false">'Исходные данные'!B72</f>
        <v>38.4474</v>
      </c>
      <c r="H72" s="0" t="n">
        <f aca="false">H71+6*$E$197/199</f>
        <v>0.259485695054892</v>
      </c>
      <c r="I72" s="0" t="n">
        <f aca="false">_xlfn.NORM.DIST(H72,$E$196,$E$197,0)</f>
        <v>0.926090670495807</v>
      </c>
      <c r="J72" s="0" t="n">
        <f aca="false">_xlfn.NORM.DIST(H72,$E$196,$E$197,1)</f>
        <v>0.186881384134105</v>
      </c>
    </row>
    <row r="73" customFormat="false" ht="12.8" hidden="false" customHeight="false" outlineLevel="0" collapsed="false">
      <c r="A73" s="0" t="n">
        <f aca="false">'Исходные данные'!A73</f>
        <v>0.0679385</v>
      </c>
      <c r="B73" s="0" t="n">
        <f aca="false">'Исходные данные'!B73</f>
        <v>38.5153</v>
      </c>
      <c r="H73" s="0" t="n">
        <f aca="false">H72+6*$E$197/199</f>
        <v>0.268230819424218</v>
      </c>
      <c r="I73" s="0" t="n">
        <f aca="false">_xlfn.NORM.DIST(H73,$E$196,$E$197,0)</f>
        <v>0.950829837809044</v>
      </c>
      <c r="J73" s="0" t="n">
        <f aca="false">_xlfn.NORM.DIST(H73,$E$196,$E$197,1)</f>
        <v>0.195088482189945</v>
      </c>
    </row>
    <row r="74" customFormat="false" ht="12.8" hidden="false" customHeight="false" outlineLevel="0" collapsed="false">
      <c r="A74" s="0" t="n">
        <f aca="false">'Исходные данные'!A74</f>
        <v>0.62101</v>
      </c>
      <c r="B74" s="0" t="n">
        <f aca="false">'Исходные данные'!B74</f>
        <v>39.1363</v>
      </c>
      <c r="H74" s="0" t="n">
        <f aca="false">H73+6*$E$197/199</f>
        <v>0.276975943793544</v>
      </c>
      <c r="I74" s="0" t="n">
        <f aca="false">_xlfn.NORM.DIST(H74,$E$196,$E$197,0)</f>
        <v>0.975342820011978</v>
      </c>
      <c r="J74" s="0" t="n">
        <f aca="false">_xlfn.NORM.DIST(H74,$E$196,$E$197,1)</f>
        <v>0.203510975234089</v>
      </c>
    </row>
    <row r="75" customFormat="false" ht="12.8" hidden="false" customHeight="false" outlineLevel="0" collapsed="false">
      <c r="A75" s="0" t="n">
        <f aca="false">'Исходные данные'!A75</f>
        <v>0.17941</v>
      </c>
      <c r="B75" s="0" t="n">
        <f aca="false">'Исходные данные'!B75</f>
        <v>39.3157</v>
      </c>
      <c r="H75" s="0" t="n">
        <f aca="false">H74+6*$E$197/199</f>
        <v>0.285721068162869</v>
      </c>
      <c r="I75" s="0" t="n">
        <f aca="false">_xlfn.NORM.DIST(H75,$E$196,$E$197,0)</f>
        <v>0.999578663997351</v>
      </c>
      <c r="J75" s="0" t="n">
        <f aca="false">_xlfn.NORM.DIST(H75,$E$196,$E$197,1)</f>
        <v>0.212146662899073</v>
      </c>
    </row>
    <row r="76" customFormat="false" ht="12.8" hidden="false" customHeight="false" outlineLevel="0" collapsed="false">
      <c r="A76" s="0" t="n">
        <f aca="false">'Исходные данные'!A76</f>
        <v>0.752879</v>
      </c>
      <c r="B76" s="0" t="n">
        <f aca="false">'Исходные данные'!B76</f>
        <v>40.0686</v>
      </c>
      <c r="H76" s="0" t="n">
        <f aca="false">H75+6*$E$197/199</f>
        <v>0.294466192532195</v>
      </c>
      <c r="I76" s="0" t="n">
        <f aca="false">_xlfn.NORM.DIST(H76,$E$196,$E$197,0)</f>
        <v>1.02348589203481</v>
      </c>
      <c r="J76" s="0" t="n">
        <f aca="false">_xlfn.NORM.DIST(H76,$E$196,$E$197,1)</f>
        <v>0.22099289680605</v>
      </c>
    </row>
    <row r="77" customFormat="false" ht="12.8" hidden="false" customHeight="false" outlineLevel="0" collapsed="false">
      <c r="A77" s="0" t="n">
        <f aca="false">'Исходные данные'!A77</f>
        <v>0.813206</v>
      </c>
      <c r="B77" s="0" t="n">
        <f aca="false">'Исходные данные'!B77</f>
        <v>40.8818</v>
      </c>
      <c r="H77" s="0" t="n">
        <f aca="false">H76+6*$E$197/199</f>
        <v>0.303211316901521</v>
      </c>
      <c r="I77" s="0" t="n">
        <f aca="false">_xlfn.NORM.DIST(H77,$E$196,$E$197,0)</f>
        <v>1.04701267811213</v>
      </c>
      <c r="J77" s="0" t="n">
        <f aca="false">_xlfn.NORM.DIST(H77,$E$196,$E$197,1)</f>
        <v>0.230046576743369</v>
      </c>
    </row>
    <row r="78" customFormat="false" ht="12.8" hidden="false" customHeight="false" outlineLevel="0" collapsed="false">
      <c r="A78" s="0" t="n">
        <f aca="false">'Исходные данные'!A78</f>
        <v>0.933824</v>
      </c>
      <c r="B78" s="0" t="n">
        <f aca="false">'Исходные данные'!B78</f>
        <v>41.8156</v>
      </c>
      <c r="H78" s="0" t="n">
        <f aca="false">H77+6*$E$197/199</f>
        <v>0.311956441270846</v>
      </c>
      <c r="I78" s="0" t="n">
        <f aca="false">_xlfn.NORM.DIST(H78,$E$196,$E$197,0)</f>
        <v>1.07010703017537</v>
      </c>
      <c r="J78" s="0" t="n">
        <f aca="false">_xlfn.NORM.DIST(H78,$E$196,$E$197,1)</f>
        <v>0.239304148413659</v>
      </c>
    </row>
    <row r="79" customFormat="false" ht="12.8" hidden="false" customHeight="false" outlineLevel="0" collapsed="false">
      <c r="A79" s="0" t="n">
        <f aca="false">'Исходные данные'!A79</f>
        <v>0.0860388</v>
      </c>
      <c r="B79" s="0" t="n">
        <f aca="false">'Исходные данные'!B79</f>
        <v>41.9017</v>
      </c>
      <c r="H79" s="0" t="n">
        <f aca="false">H78+6*$E$197/199</f>
        <v>0.320701565640172</v>
      </c>
      <c r="I79" s="0" t="n">
        <f aca="false">_xlfn.NORM.DIST(H79,$E$196,$E$197,0)</f>
        <v>1.09271697740427</v>
      </c>
      <c r="J79" s="0" t="n">
        <f aca="false">_xlfn.NORM.DIST(H79,$E$196,$E$197,1)</f>
        <v>0.248761602797317</v>
      </c>
    </row>
    <row r="80" customFormat="false" ht="12.8" hidden="false" customHeight="false" outlineLevel="0" collapsed="false">
      <c r="A80" s="0" t="n">
        <f aca="false">'Исходные данные'!A80</f>
        <v>0.51345</v>
      </c>
      <c r="B80" s="0" t="n">
        <f aca="false">'Исходные данные'!B80</f>
        <v>42.4151</v>
      </c>
      <c r="H80" s="0" t="n">
        <f aca="false">H79+6*$E$197/199</f>
        <v>0.329446690009498</v>
      </c>
      <c r="I80" s="0" t="n">
        <f aca="false">_xlfn.NORM.DIST(H80,$E$196,$E$197,0)</f>
        <v>1.11479076160626</v>
      </c>
      <c r="J80" s="0" t="n">
        <f aca="false">_xlfn.NORM.DIST(H80,$E$196,$E$197,1)</f>
        <v>0.258414477172417</v>
      </c>
    </row>
    <row r="81" customFormat="false" ht="12.8" hidden="false" customHeight="false" outlineLevel="0" collapsed="false">
      <c r="A81" s="0" t="n">
        <f aca="false">'Исходные данные'!A81</f>
        <v>0.942365</v>
      </c>
      <c r="B81" s="0" t="n">
        <f aca="false">'Исходные данные'!B81</f>
        <v>43.3575</v>
      </c>
      <c r="H81" s="0" t="n">
        <f aca="false">H80+6*$E$197/199</f>
        <v>0.338191814378823</v>
      </c>
      <c r="I81" s="0" t="n">
        <f aca="false">_xlfn.NORM.DIST(H81,$E$196,$E$197,0)</f>
        <v>1.13627703176563</v>
      </c>
      <c r="J81" s="0" t="n">
        <f aca="false">_xlfn.NORM.DIST(H81,$E$196,$E$197,1)</f>
        <v>0.268257857822907</v>
      </c>
    </row>
    <row r="82" customFormat="false" ht="12.8" hidden="false" customHeight="false" outlineLevel="0" collapsed="false">
      <c r="A82" s="0" t="n">
        <f aca="false">'Исходные данные'!A82</f>
        <v>0.170963</v>
      </c>
      <c r="B82" s="0" t="n">
        <f aca="false">'Исходные данные'!B82</f>
        <v>43.5285</v>
      </c>
      <c r="H82" s="0" t="n">
        <f aca="false">H81+6*$E$197/199</f>
        <v>0.346936938748149</v>
      </c>
      <c r="I82" s="0" t="n">
        <f aca="false">_xlfn.NORM.DIST(H82,$E$196,$E$197,0)</f>
        <v>1.15712504074319</v>
      </c>
      <c r="J82" s="0" t="n">
        <f aca="false">_xlfn.NORM.DIST(H82,$E$196,$E$197,1)</f>
        <v>0.278286384458311</v>
      </c>
    </row>
    <row r="83" customFormat="false" ht="12.8" hidden="false" customHeight="false" outlineLevel="0" collapsed="false">
      <c r="A83" s="0" t="n">
        <f aca="false">'Исходные данные'!A83</f>
        <v>0.475305</v>
      </c>
      <c r="B83" s="0" t="n">
        <f aca="false">'Исходные данные'!B83</f>
        <v>44.0038</v>
      </c>
      <c r="H83" s="0" t="n">
        <f aca="false">H82+6*$E$197/199</f>
        <v>0.355682063117475</v>
      </c>
      <c r="I83" s="0" t="n">
        <f aca="false">_xlfn.NORM.DIST(H83,$E$196,$E$197,0)</f>
        <v>1.17728484308727</v>
      </c>
      <c r="J83" s="0" t="n">
        <f aca="false">_xlfn.NORM.DIST(H83,$E$196,$E$197,1)</f>
        <v>0.288494256359224</v>
      </c>
    </row>
    <row r="84" customFormat="false" ht="12.8" hidden="false" customHeight="false" outlineLevel="0" collapsed="false">
      <c r="A84" s="0" t="n">
        <f aca="false">'Исходные данные'!A84</f>
        <v>0.234191</v>
      </c>
      <c r="B84" s="0" t="n">
        <f aca="false">'Исходные данные'!B84</f>
        <v>44.238</v>
      </c>
      <c r="H84" s="0" t="n">
        <f aca="false">H83+6*$E$197/199</f>
        <v>0.3644271874868</v>
      </c>
      <c r="I84" s="0" t="n">
        <f aca="false">_xlfn.NORM.DIST(H84,$E$196,$E$197,0)</f>
        <v>1.19670749288921</v>
      </c>
      <c r="J84" s="0" t="n">
        <f aca="false">_xlfn.NORM.DIST(H84,$E$196,$E$197,1)</f>
        <v>0.298875240253659</v>
      </c>
    </row>
    <row r="85" customFormat="false" ht="12.8" hidden="false" customHeight="false" outlineLevel="0" collapsed="false">
      <c r="A85" s="0" t="n">
        <f aca="false">'Исходные данные'!A85</f>
        <v>0.646537</v>
      </c>
      <c r="B85" s="0" t="n">
        <f aca="false">'Исходные данные'!B85</f>
        <v>44.8845</v>
      </c>
      <c r="H85" s="0" t="n">
        <f aca="false">H84+6*$E$197/199</f>
        <v>0.373172311856126</v>
      </c>
      <c r="I85" s="0" t="n">
        <f aca="false">_xlfn.NORM.DIST(H85,$E$196,$E$197,0)</f>
        <v>1.21534524059614</v>
      </c>
      <c r="J85" s="0" t="n">
        <f aca="false">_xlfn.NORM.DIST(H85,$E$196,$E$197,1)</f>
        <v>0.309422679919917</v>
      </c>
    </row>
    <row r="86" customFormat="false" ht="12.8" hidden="false" customHeight="false" outlineLevel="0" collapsed="false">
      <c r="A86" s="0" t="n">
        <f aca="false">'Исходные данные'!A86</f>
        <v>0.683904</v>
      </c>
      <c r="B86" s="0" t="n">
        <f aca="false">'Исходные данные'!B86</f>
        <v>45.5684</v>
      </c>
      <c r="H86" s="0" t="n">
        <f aca="false">H85+6*$E$197/199</f>
        <v>0.381917436225452</v>
      </c>
      <c r="I86" s="0" t="n">
        <f aca="false">_xlfn.NORM.DIST(H86,$E$196,$E$197,0)</f>
        <v>1.23315172768122</v>
      </c>
      <c r="J86" s="0" t="n">
        <f aca="false">_xlfn.NORM.DIST(H86,$E$196,$E$197,1)</f>
        <v>0.320129507502034</v>
      </c>
    </row>
    <row r="87" customFormat="false" ht="12.8" hidden="false" customHeight="false" outlineLevel="0" collapsed="false">
      <c r="A87" s="0" t="n">
        <f aca="false">'Исходные данные'!A87</f>
        <v>0.663593</v>
      </c>
      <c r="B87" s="0" t="n">
        <f aca="false">'Исходные данные'!B87</f>
        <v>46.232</v>
      </c>
      <c r="H87" s="0" t="n">
        <f aca="false">H86+6*$E$197/199</f>
        <v>0.390662560594777</v>
      </c>
      <c r="I87" s="0" t="n">
        <f aca="false">_xlfn.NORM.DIST(H87,$E$196,$E$197,0)</f>
        <v>1.25008217806647</v>
      </c>
      <c r="J87" s="0" t="n">
        <f aca="false">_xlfn.NORM.DIST(H87,$E$196,$E$197,1)</f>
        <v>0.330988256514258</v>
      </c>
    </row>
    <row r="88" customFormat="false" ht="12.8" hidden="false" customHeight="false" outlineLevel="0" collapsed="false">
      <c r="A88" s="0" t="n">
        <f aca="false">'Исходные данные'!A88</f>
        <v>0.180721</v>
      </c>
      <c r="B88" s="0" t="n">
        <f aca="false">'Исходные данные'!B88</f>
        <v>46.4127</v>
      </c>
      <c r="H88" s="0" t="n">
        <f aca="false">H87+6*$E$197/199</f>
        <v>0.399407684964103</v>
      </c>
      <c r="I88" s="0" t="n">
        <f aca="false">_xlfn.NORM.DIST(H88,$E$196,$E$197,0)</f>
        <v>1.26609358519651</v>
      </c>
      <c r="J88" s="0" t="n">
        <f aca="false">_xlfn.NORM.DIST(H88,$E$196,$E$197,1)</f>
        <v>0.341991076501317</v>
      </c>
    </row>
    <row r="89" customFormat="false" ht="12.8" hidden="false" customHeight="false" outlineLevel="0" collapsed="false">
      <c r="A89" s="0" t="n">
        <f aca="false">'Исходные данные'!A89</f>
        <v>0.345177</v>
      </c>
      <c r="B89" s="0" t="n">
        <f aca="false">'Исходные данные'!B89</f>
        <v>46.7579</v>
      </c>
      <c r="H89" s="0" t="n">
        <f aca="false">H88+6*$E$197/199</f>
        <v>0.408152809333429</v>
      </c>
      <c r="I89" s="0" t="n">
        <f aca="false">_xlfn.NORM.DIST(H89,$E$196,$E$197,0)</f>
        <v>1.2811448936726</v>
      </c>
      <c r="J89" s="0" t="n">
        <f aca="false">_xlfn.NORM.DIST(H89,$E$196,$E$197,1)</f>
        <v>0.353129749311683</v>
      </c>
    </row>
    <row r="90" customFormat="false" ht="12.8" hidden="false" customHeight="false" outlineLevel="0" collapsed="false">
      <c r="A90" s="0" t="n">
        <f aca="false">'Исходные данные'!A90</f>
        <v>0.321016</v>
      </c>
      <c r="B90" s="0" t="n">
        <f aca="false">'Исходные данные'!B90</f>
        <v>47.0789</v>
      </c>
      <c r="H90" s="0" t="n">
        <f aca="false">H89+6*$E$197/199</f>
        <v>0.416897933702754</v>
      </c>
      <c r="I90" s="0" t="n">
        <f aca="false">_xlfn.NORM.DIST(H90,$E$196,$E$197,0)</f>
        <v>1.29519717437599</v>
      </c>
      <c r="J90" s="0" t="n">
        <f aca="false">_xlfn.NORM.DIST(H90,$E$196,$E$197,1)</f>
        <v>0.364395706931543</v>
      </c>
    </row>
    <row r="91" customFormat="false" ht="12.8" hidden="false" customHeight="false" outlineLevel="0" collapsed="false">
      <c r="A91" s="0" t="n">
        <f aca="false">'Исходные данные'!A91</f>
        <v>0.869046</v>
      </c>
      <c r="B91" s="0" t="n">
        <f aca="false">'Исходные данные'!B91</f>
        <v>47.9479</v>
      </c>
      <c r="H91" s="0" t="n">
        <f aca="false">H90+6*$E$197/199</f>
        <v>0.42564305807208</v>
      </c>
      <c r="I91" s="0" t="n">
        <f aca="false">_xlfn.NORM.DIST(H91,$E$196,$E$197,0)</f>
        <v>1.3082137920367</v>
      </c>
      <c r="J91" s="0" t="n">
        <f aca="false">_xlfn.NORM.DIST(H91,$E$196,$E$197,1)</f>
        <v>0.375780050817964</v>
      </c>
    </row>
    <row r="92" customFormat="false" ht="12.8" hidden="false" customHeight="false" outlineLevel="0" collapsed="false">
      <c r="A92" s="0" t="n">
        <f aca="false">'Исходные данные'!A92</f>
        <v>0.251554</v>
      </c>
      <c r="B92" s="0" t="n">
        <f aca="false">'Исходные данные'!B92</f>
        <v>48.1995</v>
      </c>
      <c r="H92" s="0" t="n">
        <f aca="false">H91+6*$E$197/199</f>
        <v>0.434388182441406</v>
      </c>
      <c r="I92" s="0" t="n">
        <f aca="false">_xlfn.NORM.DIST(H92,$E$196,$E$197,0)</f>
        <v>1.32016056423957</v>
      </c>
      <c r="J92" s="0" t="n">
        <f aca="false">_xlfn.NORM.DIST(H92,$E$196,$E$197,1)</f>
        <v>0.387273572660753</v>
      </c>
    </row>
    <row r="93" customFormat="false" ht="12.8" hidden="false" customHeight="false" outlineLevel="0" collapsed="false">
      <c r="A93" s="0" t="n">
        <f aca="false">'Исходные данные'!A93</f>
        <v>0.893495</v>
      </c>
      <c r="B93" s="0" t="n">
        <f aca="false">'Исходные данные'!B93</f>
        <v>49.093</v>
      </c>
      <c r="H93" s="0" t="n">
        <f aca="false">H92+6*$E$197/199</f>
        <v>0.443133306810731</v>
      </c>
      <c r="I93" s="0" t="n">
        <f aca="false">_xlfn.NORM.DIST(H93,$E$196,$E$197,0)</f>
        <v>1.33100591090254</v>
      </c>
      <c r="J93" s="0" t="n">
        <f aca="false">_xlfn.NORM.DIST(H93,$E$196,$E$197,1)</f>
        <v>0.398866776493858</v>
      </c>
    </row>
    <row r="94" customFormat="false" ht="12.8" hidden="false" customHeight="false" outlineLevel="0" collapsed="false">
      <c r="A94" s="0" t="n">
        <f aca="false">'Исходные данные'!A94</f>
        <v>0.157976</v>
      </c>
      <c r="B94" s="0" t="n">
        <f aca="false">'Исходные данные'!B94</f>
        <v>49.251</v>
      </c>
      <c r="H94" s="0" t="n">
        <f aca="false">H93+6*$E$197/199</f>
        <v>0.451878431180057</v>
      </c>
      <c r="I94" s="0" t="n">
        <f aca="false">_xlfn.NORM.DIST(H94,$E$196,$E$197,0)</f>
        <v>1.34072099331278</v>
      </c>
      <c r="J94" s="0" t="n">
        <f aca="false">_xlfn.NORM.DIST(H94,$E$196,$E$197,1)</f>
        <v>0.410549902068974</v>
      </c>
    </row>
    <row r="95" customFormat="false" ht="12.8" hidden="false" customHeight="false" outlineLevel="0" collapsed="false">
      <c r="A95" s="0" t="n">
        <f aca="false">'Исходные данные'!A95</f>
        <v>0.204799</v>
      </c>
      <c r="B95" s="0" t="n">
        <f aca="false">'Исходные данные'!B95</f>
        <v>49.4558</v>
      </c>
      <c r="H95" s="0" t="n">
        <f aca="false">H94+6*$E$197/199</f>
        <v>0.460623555549383</v>
      </c>
      <c r="I95" s="0" t="n">
        <f aca="false">_xlfn.NORM.DIST(H95,$E$196,$E$197,0)</f>
        <v>1.3492798418643</v>
      </c>
      <c r="J95" s="0" t="n">
        <f aca="false">_xlfn.NORM.DIST(H95,$E$196,$E$197,1)</f>
        <v>0.422312949396228</v>
      </c>
    </row>
    <row r="96" customFormat="false" ht="17.35" hidden="false" customHeight="false" outlineLevel="0" collapsed="false">
      <c r="A96" s="0" t="n">
        <f aca="false">'Исходные данные'!A96</f>
        <v>0.208352</v>
      </c>
      <c r="B96" s="0" t="n">
        <f aca="false">'Исходные данные'!B96</f>
        <v>49.6641</v>
      </c>
      <c r="D96" s="3"/>
      <c r="E96" s="8"/>
      <c r="H96" s="0" t="n">
        <f aca="false">H95+6*$E$197/199</f>
        <v>0.469368679918708</v>
      </c>
      <c r="I96" s="0" t="n">
        <f aca="false">_xlfn.NORM.DIST(H96,$E$196,$E$197,0)</f>
        <v>1.35665947170543</v>
      </c>
      <c r="J96" s="0" t="n">
        <f aca="false">_xlfn.NORM.DIST(H96,$E$196,$E$197,1)</f>
        <v>0.434145704349631</v>
      </c>
    </row>
    <row r="97" customFormat="false" ht="17.35" hidden="false" customHeight="false" outlineLevel="0" collapsed="false">
      <c r="A97" s="0" t="n">
        <f aca="false">'Исходные данные'!A97</f>
        <v>0.546034</v>
      </c>
      <c r="B97" s="0" t="n">
        <f aca="false">'Исходные данные'!B97</f>
        <v>50.2102</v>
      </c>
      <c r="D97" s="3"/>
      <c r="E97" s="8"/>
      <c r="H97" s="0" t="n">
        <f aca="false">H96+6*$E$197/199</f>
        <v>0.478113804288034</v>
      </c>
      <c r="I97" s="0" t="n">
        <f aca="false">_xlfn.NORM.DIST(H97,$E$196,$E$197,0)</f>
        <v>1.36283998557547</v>
      </c>
      <c r="J97" s="0" t="n">
        <f aca="false">_xlfn.NORM.DIST(H97,$E$196,$E$197,1)</f>
        <v>0.446037765228374</v>
      </c>
    </row>
    <row r="98" customFormat="false" ht="12.8" hidden="false" customHeight="false" outlineLevel="0" collapsed="false">
      <c r="A98" s="0" t="n">
        <f aca="false">'Исходные данные'!A98</f>
        <v>0.883658</v>
      </c>
      <c r="B98" s="0" t="n">
        <f aca="false">'Исходные данные'!B98</f>
        <v>51.0938</v>
      </c>
      <c r="H98" s="0" t="n">
        <f aca="false">H97+6*$E$197/199</f>
        <v>0.48685892865736</v>
      </c>
      <c r="I98" s="0" t="n">
        <f aca="false">_xlfn.NORM.DIST(H98,$E$196,$E$197,0)</f>
        <v>1.36780466318654</v>
      </c>
      <c r="J98" s="0" t="n">
        <f aca="false">_xlfn.NORM.DIST(H98,$E$196,$E$197,1)</f>
        <v>0.457978570159036</v>
      </c>
    </row>
    <row r="99" customFormat="false" ht="12.8" hidden="false" customHeight="false" outlineLevel="0" collapsed="false">
      <c r="A99" s="0" t="n">
        <f aca="false">'Исходные данные'!A99</f>
        <v>0.286789</v>
      </c>
      <c r="B99" s="0" t="n">
        <f aca="false">'Исходные данные'!B99</f>
        <v>51.3806</v>
      </c>
      <c r="H99" s="0" t="n">
        <f aca="false">H98+6*$E$197/199</f>
        <v>0.495604053026686</v>
      </c>
      <c r="I99" s="0" t="n">
        <f aca="false">_xlfn.NORM.DIST(H99,$E$196,$E$197,0)</f>
        <v>1.37154003658882</v>
      </c>
      <c r="J99" s="0" t="n">
        <f aca="false">_xlfn.NORM.DIST(H99,$E$196,$E$197,1)</f>
        <v>0.469957425218552</v>
      </c>
    </row>
    <row r="100" customFormat="false" ht="12.8" hidden="false" customHeight="false" outlineLevel="0" collapsed="false">
      <c r="A100" s="0" t="n">
        <f aca="false">'Исходные данные'!A100</f>
        <v>0.24097</v>
      </c>
      <c r="B100" s="0" t="n">
        <f aca="false">'Исходные данные'!B100</f>
        <v>51.6216</v>
      </c>
      <c r="H100" s="0" t="n">
        <f aca="false">H99+6*$E$197/199</f>
        <v>0.504349177396011</v>
      </c>
      <c r="I100" s="0" t="n">
        <f aca="false">_xlfn.NORM.DIST(H100,$E$196,$E$197,0)</f>
        <v>1.37403595104369</v>
      </c>
      <c r="J100" s="0" t="n">
        <f aca="false">_xlfn.NORM.DIST(H100,$E$196,$E$197,1)</f>
        <v>0.481963533153195</v>
      </c>
    </row>
    <row r="101" customFormat="false" ht="17.35" hidden="false" customHeight="false" outlineLevel="0" collapsed="false">
      <c r="A101" s="0" t="n">
        <f aca="false">'Исходные данные'!A101</f>
        <v>0.0718273</v>
      </c>
      <c r="B101" s="0" t="n">
        <f aca="false">'Исходные данные'!B101</f>
        <v>51.6934</v>
      </c>
      <c r="F101" s="1"/>
      <c r="H101" s="0" t="n">
        <f aca="false">H100+6*$E$197/199</f>
        <v>0.513094301765337</v>
      </c>
      <c r="I101" s="0" t="n">
        <f aca="false">_xlfn.NORM.DIST(H101,$E$196,$E$197,0)</f>
        <v>1.37528561101968</v>
      </c>
      <c r="J101" s="0" t="n">
        <f aca="false">_xlfn.NORM.DIST(H101,$E$196,$E$197,1)</f>
        <v>0.493986022565103</v>
      </c>
    </row>
    <row r="102" customFormat="false" ht="12.8" hidden="false" customHeight="false" outlineLevel="0" collapsed="false">
      <c r="A102" s="0" t="n">
        <f aca="false">'Исходные данные'!A102</f>
        <v>0.192316</v>
      </c>
      <c r="B102" s="0" t="n">
        <f aca="false">'Исходные данные'!B102</f>
        <v>51.8857</v>
      </c>
      <c r="H102" s="0" t="n">
        <f aca="false">H101+6*$E$197/199</f>
        <v>0.521839426134663</v>
      </c>
      <c r="I102" s="0" t="n">
        <f aca="false">_xlfn.NORM.DIST(H102,$E$196,$E$197,0)</f>
        <v>1.37528561101968</v>
      </c>
      <c r="J102" s="0" t="n">
        <f aca="false">_xlfn.NORM.DIST(H102,$E$196,$E$197,1)</f>
        <v>0.506013977434896</v>
      </c>
    </row>
    <row r="103" customFormat="false" ht="12.8" hidden="false" customHeight="false" outlineLevel="0" collapsed="false">
      <c r="A103" s="0" t="n">
        <f aca="false">'Исходные данные'!A103</f>
        <v>0.681052</v>
      </c>
      <c r="B103" s="0" t="n">
        <f aca="false">'Исходные данные'!B103</f>
        <v>52.5668</v>
      </c>
      <c r="H103" s="0" t="n">
        <f aca="false">H102+6*$E$197/199</f>
        <v>0.530584550503988</v>
      </c>
      <c r="I103" s="0" t="n">
        <f aca="false">_xlfn.NORM.DIST(H103,$E$196,$E$197,0)</f>
        <v>1.37403595104369</v>
      </c>
      <c r="J103" s="0" t="n">
        <f aca="false">_xlfn.NORM.DIST(H103,$E$196,$E$197,1)</f>
        <v>0.518036466846805</v>
      </c>
    </row>
    <row r="104" customFormat="false" ht="12.8" hidden="false" customHeight="false" outlineLevel="0" collapsed="false">
      <c r="A104" s="0" t="n">
        <f aca="false">'Исходные данные'!A104</f>
        <v>0.441748</v>
      </c>
      <c r="B104" s="0" t="n">
        <f aca="false">'Исходные данные'!B104</f>
        <v>53.0085</v>
      </c>
      <c r="H104" s="0" t="n">
        <f aca="false">H103+6*$E$197/199</f>
        <v>0.539329674873314</v>
      </c>
      <c r="I104" s="0" t="n">
        <f aca="false">_xlfn.NORM.DIST(H104,$E$196,$E$197,0)</f>
        <v>1.37154003658882</v>
      </c>
      <c r="J104" s="0" t="n">
        <f aca="false">_xlfn.NORM.DIST(H104,$E$196,$E$197,1)</f>
        <v>0.530042574781448</v>
      </c>
    </row>
    <row r="105" customFormat="false" ht="12.8" hidden="false" customHeight="false" outlineLevel="0" collapsed="false">
      <c r="A105" s="0" t="n">
        <f aca="false">'Исходные данные'!A105</f>
        <v>0.848413</v>
      </c>
      <c r="B105" s="0" t="n">
        <f aca="false">'Исходные данные'!B105</f>
        <v>53.8569</v>
      </c>
      <c r="H105" s="0" t="n">
        <f aca="false">H104+6*$E$197/199</f>
        <v>0.54807479924264</v>
      </c>
      <c r="I105" s="0" t="n">
        <f aca="false">_xlfn.NORM.DIST(H105,$E$196,$E$197,0)</f>
        <v>1.36780466318654</v>
      </c>
      <c r="J105" s="0" t="n">
        <f aca="false">_xlfn.NORM.DIST(H105,$E$196,$E$197,1)</f>
        <v>0.542021429840964</v>
      </c>
    </row>
    <row r="106" customFormat="false" ht="12.8" hidden="false" customHeight="false" outlineLevel="0" collapsed="false">
      <c r="A106" s="0" t="n">
        <f aca="false">'Исходные данные'!A106</f>
        <v>0.996605</v>
      </c>
      <c r="B106" s="0" t="n">
        <f aca="false">'Исходные данные'!B106</f>
        <v>54.8535</v>
      </c>
      <c r="H106" s="0" t="n">
        <f aca="false">H105+6*$E$197/199</f>
        <v>0.556819923611966</v>
      </c>
      <c r="I106" s="0" t="n">
        <f aca="false">_xlfn.NORM.DIST(H106,$E$196,$E$197,0)</f>
        <v>1.36283998557547</v>
      </c>
      <c r="J106" s="0" t="n">
        <f aca="false">_xlfn.NORM.DIST(H106,$E$196,$E$197,1)</f>
        <v>0.553962234771626</v>
      </c>
    </row>
    <row r="107" customFormat="false" ht="12.8" hidden="false" customHeight="false" outlineLevel="0" collapsed="false">
      <c r="A107" s="0" t="n">
        <f aca="false">'Исходные данные'!A107</f>
        <v>0.0287397</v>
      </c>
      <c r="B107" s="0" t="n">
        <f aca="false">'Исходные данные'!B107</f>
        <v>54.8823</v>
      </c>
      <c r="H107" s="0" t="n">
        <f aca="false">H106+6*$E$197/199</f>
        <v>0.565565047981291</v>
      </c>
      <c r="I107" s="0" t="n">
        <f aca="false">_xlfn.NORM.DIST(H107,$E$196,$E$197,0)</f>
        <v>1.35665947170543</v>
      </c>
      <c r="J107" s="0" t="n">
        <f aca="false">_xlfn.NORM.DIST(H107,$E$196,$E$197,1)</f>
        <v>0.565854295650369</v>
      </c>
    </row>
    <row r="108" customFormat="false" ht="12.8" hidden="false" customHeight="false" outlineLevel="0" collapsed="false">
      <c r="A108" s="0" t="n">
        <f aca="false">'Исходные данные'!A108</f>
        <v>0.852422</v>
      </c>
      <c r="B108" s="0" t="n">
        <f aca="false">'Исходные данные'!B108</f>
        <v>55.7347</v>
      </c>
      <c r="H108" s="0" t="n">
        <f aca="false">H107+6*$E$197/199</f>
        <v>0.574310172350617</v>
      </c>
      <c r="I108" s="0" t="n">
        <f aca="false">_xlfn.NORM.DIST(H108,$E$196,$E$197,0)</f>
        <v>1.3492798418643</v>
      </c>
      <c r="J108" s="0" t="n">
        <f aca="false">_xlfn.NORM.DIST(H108,$E$196,$E$197,1)</f>
        <v>0.577687050603772</v>
      </c>
    </row>
    <row r="109" customFormat="false" ht="12.8" hidden="false" customHeight="false" outlineLevel="0" collapsed="false">
      <c r="A109" s="0" t="n">
        <f aca="false">'Исходные данные'!A109</f>
        <v>0.315115</v>
      </c>
      <c r="B109" s="0" t="n">
        <f aca="false">'Исходные данные'!B109</f>
        <v>56.0498</v>
      </c>
      <c r="H109" s="0" t="n">
        <f aca="false">H108+6*$E$197/199</f>
        <v>0.583055296719943</v>
      </c>
      <c r="I109" s="0" t="n">
        <f aca="false">_xlfn.NORM.DIST(H109,$E$196,$E$197,0)</f>
        <v>1.34072099331278</v>
      </c>
      <c r="J109" s="0" t="n">
        <f aca="false">_xlfn.NORM.DIST(H109,$E$196,$E$197,1)</f>
        <v>0.589450097931025</v>
      </c>
    </row>
    <row r="110" customFormat="false" ht="12.8" hidden="false" customHeight="false" outlineLevel="0" collapsed="false">
      <c r="A110" s="0" t="n">
        <f aca="false">'Исходные данные'!A110</f>
        <v>0.981869</v>
      </c>
      <c r="B110" s="0" t="n">
        <f aca="false">'Исходные данные'!B110</f>
        <v>57.0317</v>
      </c>
      <c r="H110" s="0" t="n">
        <f aca="false">H109+6*$E$197/199</f>
        <v>0.591800421089268</v>
      </c>
      <c r="I110" s="0" t="n">
        <f aca="false">_xlfn.NORM.DIST(H110,$E$196,$E$197,0)</f>
        <v>1.33100591090254</v>
      </c>
      <c r="J110" s="0" t="n">
        <f aca="false">_xlfn.NORM.DIST(H110,$E$196,$E$197,1)</f>
        <v>0.601133223506142</v>
      </c>
      <c r="K110" s="0" t="s">
        <v>4</v>
      </c>
    </row>
    <row r="111" customFormat="false" ht="12.8" hidden="false" customHeight="false" outlineLevel="0" collapsed="false">
      <c r="A111" s="0" t="n">
        <f aca="false">'Исходные данные'!A111</f>
        <v>0.356696</v>
      </c>
      <c r="B111" s="0" t="n">
        <f aca="false">'Исходные данные'!B111</f>
        <v>57.3884</v>
      </c>
      <c r="H111" s="0" t="n">
        <f aca="false">H110+6*$E$197/199</f>
        <v>0.600545545458594</v>
      </c>
      <c r="I111" s="0" t="n">
        <f aca="false">_xlfn.NORM.DIST(H111,$E$196,$E$197,0)</f>
        <v>1.32016056423957</v>
      </c>
      <c r="J111" s="0" t="n">
        <f aca="false">_xlfn.NORM.DIST(H111,$E$196,$E$197,1)</f>
        <v>0.612726427339247</v>
      </c>
    </row>
    <row r="112" customFormat="false" ht="12.8" hidden="false" customHeight="false" outlineLevel="0" collapsed="false">
      <c r="A112" s="0" t="n">
        <f aca="false">'Исходные данные'!A112</f>
        <v>0.655621</v>
      </c>
      <c r="B112" s="0" t="n">
        <f aca="false">'Исходные данные'!B112</f>
        <v>58.044</v>
      </c>
      <c r="H112" s="0" t="n">
        <f aca="false">H111+6*$E$197/199</f>
        <v>0.60929066982792</v>
      </c>
      <c r="I112" s="0" t="n">
        <f aca="false">_xlfn.NORM.DIST(H112,$E$196,$E$197,0)</f>
        <v>1.3082137920367</v>
      </c>
      <c r="J112" s="0" t="n">
        <f aca="false">_xlfn.NORM.DIST(H112,$E$196,$E$197,1)</f>
        <v>0.624219949182036</v>
      </c>
    </row>
    <row r="113" customFormat="false" ht="12.8" hidden="false" customHeight="false" outlineLevel="0" collapsed="false">
      <c r="A113" s="0" t="n">
        <f aca="false">'Исходные данные'!A113</f>
        <v>0.0779715</v>
      </c>
      <c r="B113" s="0" t="n">
        <f aca="false">'Исходные данные'!B113</f>
        <v>58.122</v>
      </c>
      <c r="H113" s="0" t="n">
        <f aca="false">H112+6*$E$197/199</f>
        <v>0.618035794197246</v>
      </c>
      <c r="I113" s="0" t="n">
        <f aca="false">_xlfn.NORM.DIST(H113,$E$196,$E$197,0)</f>
        <v>1.29519717437599</v>
      </c>
      <c r="J113" s="0" t="n">
        <f aca="false">_xlfn.NORM.DIST(H113,$E$196,$E$197,1)</f>
        <v>0.635604293068457</v>
      </c>
    </row>
    <row r="114" customFormat="false" ht="12.8" hidden="false" customHeight="false" outlineLevel="0" collapsed="false">
      <c r="A114" s="0" t="n">
        <f aca="false">'Исходные данные'!A114</f>
        <v>0.381421</v>
      </c>
      <c r="B114" s="0" t="n">
        <f aca="false">'Исходные данные'!B114</f>
        <v>58.5034</v>
      </c>
      <c r="H114" s="0" t="n">
        <f aca="false">H113+6*$E$197/199</f>
        <v>0.626780918566571</v>
      </c>
      <c r="I114" s="0" t="n">
        <f aca="false">_xlfn.NORM.DIST(H114,$E$196,$E$197,0)</f>
        <v>1.2811448936726</v>
      </c>
      <c r="J114" s="0" t="n">
        <f aca="false">_xlfn.NORM.DIST(H114,$E$196,$E$197,1)</f>
        <v>0.646870250688317</v>
      </c>
    </row>
    <row r="115" customFormat="false" ht="12.8" hidden="false" customHeight="false" outlineLevel="0" collapsed="false">
      <c r="A115" s="0" t="n">
        <f aca="false">'Исходные данные'!A115</f>
        <v>0.85963</v>
      </c>
      <c r="B115" s="0" t="n">
        <f aca="false">'Исходные данные'!B115</f>
        <v>59.363</v>
      </c>
      <c r="H115" s="0" t="n">
        <f aca="false">H114+6*$E$197/199</f>
        <v>0.635526042935897</v>
      </c>
      <c r="I115" s="0" t="n">
        <f aca="false">_xlfn.NORM.DIST(H115,$E$196,$E$197,0)</f>
        <v>1.26609358519651</v>
      </c>
      <c r="J115" s="0" t="n">
        <f aca="false">_xlfn.NORM.DIST(H115,$E$196,$E$197,1)</f>
        <v>0.658008923498683</v>
      </c>
    </row>
    <row r="116" customFormat="false" ht="12.8" hidden="false" customHeight="false" outlineLevel="0" collapsed="false">
      <c r="A116" s="0" t="n">
        <f aca="false">'Исходные данные'!A116</f>
        <v>0.376067</v>
      </c>
      <c r="B116" s="0" t="n">
        <f aca="false">'Исходные данные'!B116</f>
        <v>59.7391</v>
      </c>
      <c r="H116" s="0" t="n">
        <f aca="false">H115+6*$E$197/199</f>
        <v>0.644271167305223</v>
      </c>
      <c r="I116" s="0" t="n">
        <f aca="false">_xlfn.NORM.DIST(H116,$E$196,$E$197,0)</f>
        <v>1.25008217806647</v>
      </c>
      <c r="J116" s="0" t="n">
        <f aca="false">_xlfn.NORM.DIST(H116,$E$196,$E$197,1)</f>
        <v>0.669011743485742</v>
      </c>
    </row>
    <row r="117" customFormat="false" ht="12.8" hidden="false" customHeight="false" outlineLevel="0" collapsed="false">
      <c r="A117" s="0" t="n">
        <f aca="false">'Исходные данные'!A117</f>
        <v>0.708826</v>
      </c>
      <c r="B117" s="0" t="n">
        <f aca="false">'Исходные данные'!B117</f>
        <v>60.4479</v>
      </c>
      <c r="H117" s="0" t="n">
        <f aca="false">H116+6*$E$197/199</f>
        <v>0.653016291674549</v>
      </c>
      <c r="I117" s="0" t="n">
        <f aca="false">_xlfn.NORM.DIST(H117,$E$196,$E$197,0)</f>
        <v>1.23315172768122</v>
      </c>
      <c r="J117" s="0" t="n">
        <f aca="false">_xlfn.NORM.DIST(H117,$E$196,$E$197,1)</f>
        <v>0.679870492497966</v>
      </c>
    </row>
    <row r="118" customFormat="false" ht="12.8" hidden="false" customHeight="false" outlineLevel="0" collapsed="false">
      <c r="A118" s="0" t="n">
        <f aca="false">'Исходные данные'!A118</f>
        <v>0.414173</v>
      </c>
      <c r="B118" s="0" t="n">
        <f aca="false">'Исходные данные'!B118</f>
        <v>60.8621</v>
      </c>
      <c r="H118" s="0" t="n">
        <f aca="false">H117+6*$E$197/199</f>
        <v>0.661761416043874</v>
      </c>
      <c r="I118" s="0" t="n">
        <f aca="false">_xlfn.NORM.DIST(H118,$E$196,$E$197,0)</f>
        <v>1.21534524059614</v>
      </c>
      <c r="J118" s="0" t="n">
        <f aca="false">_xlfn.NORM.DIST(H118,$E$196,$E$197,1)</f>
        <v>0.690577320080083</v>
      </c>
    </row>
    <row r="119" customFormat="false" ht="12.8" hidden="false" customHeight="false" outlineLevel="0" collapsed="false">
      <c r="A119" s="0" t="n">
        <f aca="false">'Исходные данные'!A119</f>
        <v>0.325974</v>
      </c>
      <c r="B119" s="0" t="n">
        <f aca="false">'Исходные данные'!B119</f>
        <v>61.1881</v>
      </c>
      <c r="H119" s="0" t="n">
        <f aca="false">H118+6*$E$197/199</f>
        <v>0.6705065404132</v>
      </c>
      <c r="I119" s="0" t="n">
        <f aca="false">_xlfn.NORM.DIST(H119,$E$196,$E$197,0)</f>
        <v>1.19670749288921</v>
      </c>
      <c r="J119" s="0" t="n">
        <f aca="false">_xlfn.NORM.DIST(H119,$E$196,$E$197,1)</f>
        <v>0.701124759746341</v>
      </c>
    </row>
    <row r="120" customFormat="false" ht="12.8" hidden="false" customHeight="false" outlineLevel="0" collapsed="false">
      <c r="A120" s="0" t="n">
        <f aca="false">'Исходные данные'!A120</f>
        <v>0.321785</v>
      </c>
      <c r="B120" s="0" t="n">
        <f aca="false">'Исходные данные'!B120</f>
        <v>61.5098</v>
      </c>
      <c r="H120" s="0" t="n">
        <f aca="false">H119+6*$E$197/199</f>
        <v>0.679251664782526</v>
      </c>
      <c r="I120" s="0" t="n">
        <f aca="false">_xlfn.NORM.DIST(H120,$E$196,$E$197,0)</f>
        <v>1.17728484308727</v>
      </c>
      <c r="J120" s="0" t="n">
        <f aca="false">_xlfn.NORM.DIST(H120,$E$196,$E$197,1)</f>
        <v>0.711505743640777</v>
      </c>
    </row>
    <row r="121" customFormat="false" ht="12.8" hidden="false" customHeight="false" outlineLevel="0" collapsed="false">
      <c r="A121" s="0" t="n">
        <f aca="false">'Исходные данные'!A121</f>
        <v>0.490433</v>
      </c>
      <c r="B121" s="0" t="n">
        <f aca="false">'Исходные данные'!B121</f>
        <v>62.0003</v>
      </c>
      <c r="H121" s="0" t="n">
        <f aca="false">H120+6*$E$197/199</f>
        <v>0.687996789151852</v>
      </c>
      <c r="I121" s="0" t="n">
        <f aca="false">_xlfn.NORM.DIST(H121,$E$196,$E$197,0)</f>
        <v>1.15712504074319</v>
      </c>
      <c r="J121" s="0" t="n">
        <f aca="false">_xlfn.NORM.DIST(H121,$E$196,$E$197,1)</f>
        <v>0.721713615541689</v>
      </c>
    </row>
    <row r="122" customFormat="false" ht="12.8" hidden="false" customHeight="false" outlineLevel="0" collapsed="false">
      <c r="A122" s="0" t="n">
        <f aca="false">'Исходные данные'!A122</f>
        <v>0.314678</v>
      </c>
      <c r="B122" s="0" t="n">
        <f aca="false">'Исходные данные'!B122</f>
        <v>62.315</v>
      </c>
      <c r="H122" s="0" t="n">
        <f aca="false">H121+6*$E$197/199</f>
        <v>0.696741913521177</v>
      </c>
      <c r="I122" s="0" t="n">
        <f aca="false">_xlfn.NORM.DIST(H122,$E$196,$E$197,0)</f>
        <v>1.13627703176563</v>
      </c>
      <c r="J122" s="0" t="n">
        <f aca="false">_xlfn.NORM.DIST(H122,$E$196,$E$197,1)</f>
        <v>0.731742142177094</v>
      </c>
    </row>
    <row r="123" customFormat="false" ht="12.8" hidden="false" customHeight="false" outlineLevel="0" collapsed="false">
      <c r="A123" s="0" t="n">
        <f aca="false">'Исходные данные'!A123</f>
        <v>0.298517</v>
      </c>
      <c r="B123" s="0" t="n">
        <f aca="false">'Исходные данные'!B123</f>
        <v>62.6135</v>
      </c>
      <c r="H123" s="0" t="n">
        <f aca="false">H122+6*$E$197/199</f>
        <v>0.705487037890503</v>
      </c>
      <c r="I123" s="0" t="n">
        <f aca="false">_xlfn.NORM.DIST(H123,$E$196,$E$197,0)</f>
        <v>1.11479076160626</v>
      </c>
      <c r="J123" s="0" t="n">
        <f aca="false">_xlfn.NORM.DIST(H123,$E$196,$E$197,1)</f>
        <v>0.741585522827584</v>
      </c>
    </row>
    <row r="124" customFormat="false" ht="12.8" hidden="false" customHeight="false" outlineLevel="0" collapsed="false">
      <c r="A124" s="0" t="n">
        <f aca="false">'Исходные данные'!A124</f>
        <v>0.512092</v>
      </c>
      <c r="B124" s="0" t="n">
        <f aca="false">'Исходные данные'!B124</f>
        <v>63.1256</v>
      </c>
      <c r="H124" s="0" t="n">
        <f aca="false">H123+6*$E$197/199</f>
        <v>0.714232162259829</v>
      </c>
      <c r="I124" s="0" t="n">
        <f aca="false">_xlfn.NORM.DIST(H124,$E$196,$E$197,0)</f>
        <v>1.09271697740427</v>
      </c>
      <c r="J124" s="0" t="n">
        <f aca="false">_xlfn.NORM.DIST(H124,$E$196,$E$197,1)</f>
        <v>0.751238397202683</v>
      </c>
    </row>
    <row r="125" customFormat="false" ht="12.8" hidden="false" customHeight="false" outlineLevel="0" collapsed="false">
      <c r="A125" s="0" t="n">
        <f aca="false">'Исходные данные'!A125</f>
        <v>0.500782</v>
      </c>
      <c r="B125" s="0" t="n">
        <f aca="false">'Исходные данные'!B125</f>
        <v>63.6263</v>
      </c>
      <c r="H125" s="0" t="n">
        <f aca="false">H124+6*$E$197/199</f>
        <v>0.722977286629154</v>
      </c>
      <c r="I125" s="0" t="n">
        <f aca="false">_xlfn.NORM.DIST(H125,$E$196,$E$197,0)</f>
        <v>1.07010703017537</v>
      </c>
      <c r="J125" s="0" t="n">
        <f aca="false">_xlfn.NORM.DIST(H125,$E$196,$E$197,1)</f>
        <v>0.760695851586342</v>
      </c>
    </row>
    <row r="126" customFormat="false" ht="12.8" hidden="false" customHeight="false" outlineLevel="0" collapsed="false">
      <c r="A126" s="0" t="n">
        <f aca="false">'Исходные данные'!A126</f>
        <v>0.0782147</v>
      </c>
      <c r="B126" s="0" t="n">
        <f aca="false">'Исходные данные'!B126</f>
        <v>63.7046</v>
      </c>
      <c r="H126" s="0" t="n">
        <f aca="false">H125+6*$E$197/199</f>
        <v>0.73172241099848</v>
      </c>
      <c r="I126" s="0" t="n">
        <f aca="false">_xlfn.NORM.DIST(H126,$E$196,$E$197,0)</f>
        <v>1.04701267811212</v>
      </c>
      <c r="J126" s="0" t="n">
        <f aca="false">_xlfn.NORM.DIST(H126,$E$196,$E$197,1)</f>
        <v>0.769953423256632</v>
      </c>
    </row>
    <row r="127" customFormat="false" ht="12.8" hidden="false" customHeight="false" outlineLevel="0" collapsed="false">
      <c r="A127" s="0" t="n">
        <f aca="false">'Исходные данные'!A127</f>
        <v>0.298364</v>
      </c>
      <c r="B127" s="0" t="n">
        <f aca="false">'Исходные данные'!B127</f>
        <v>64.0029</v>
      </c>
      <c r="H127" s="0" t="n">
        <f aca="false">H126+6*$E$197/199</f>
        <v>0.740467535367806</v>
      </c>
      <c r="I127" s="0" t="n">
        <f aca="false">_xlfn.NORM.DIST(H127,$E$196,$E$197,0)</f>
        <v>1.02348589203481</v>
      </c>
      <c r="J127" s="0" t="n">
        <f aca="false">_xlfn.NORM.DIST(H127,$E$196,$E$197,1)</f>
        <v>0.779007103193951</v>
      </c>
    </row>
    <row r="128" customFormat="false" ht="12.8" hidden="false" customHeight="false" outlineLevel="0" collapsed="false">
      <c r="A128" s="0" t="n">
        <f aca="false">'Исходные данные'!A128</f>
        <v>0.881009</v>
      </c>
      <c r="B128" s="0" t="n">
        <f aca="false">'Исходные данные'!B128</f>
        <v>64.8839</v>
      </c>
      <c r="H128" s="0" t="n">
        <f aca="false">H127+6*$E$197/199</f>
        <v>0.749212659737132</v>
      </c>
      <c r="I128" s="0" t="n">
        <f aca="false">_xlfn.NORM.DIST(H128,$E$196,$E$197,0)</f>
        <v>0.999578663997348</v>
      </c>
      <c r="J128" s="0" t="n">
        <f aca="false">_xlfn.NORM.DIST(H128,$E$196,$E$197,1)</f>
        <v>0.787853337100928</v>
      </c>
    </row>
    <row r="129" customFormat="false" ht="12.8" hidden="false" customHeight="false" outlineLevel="0" collapsed="false">
      <c r="A129" s="0" t="n">
        <f aca="false">'Исходные данные'!A129</f>
        <v>0.784344</v>
      </c>
      <c r="B129" s="0" t="n">
        <f aca="false">'Исходные данные'!B129</f>
        <v>65.6683</v>
      </c>
      <c r="H129" s="0" t="n">
        <f aca="false">H128+6*$E$197/199</f>
        <v>0.757957784106457</v>
      </c>
      <c r="I129" s="0" t="n">
        <f aca="false">_xlfn.NORM.DIST(H129,$E$196,$E$197,0)</f>
        <v>0.975342820011976</v>
      </c>
      <c r="J129" s="0" t="n">
        <f aca="false">_xlfn.NORM.DIST(H129,$E$196,$E$197,1)</f>
        <v>0.796489024765912</v>
      </c>
    </row>
    <row r="130" customFormat="false" ht="12.8" hidden="false" customHeight="false" outlineLevel="0" collapsed="false">
      <c r="A130" s="0" t="n">
        <f aca="false">'Исходные данные'!A130</f>
        <v>0.0806682</v>
      </c>
      <c r="B130" s="0" t="n">
        <f aca="false">'Исходные данные'!B130</f>
        <v>65.7489</v>
      </c>
      <c r="H130" s="0" t="n">
        <f aca="false">H129+6*$E$197/199</f>
        <v>0.766702908475783</v>
      </c>
      <c r="I130" s="0" t="n">
        <f aca="false">_xlfn.NORM.DIST(H130,$E$196,$E$197,0)</f>
        <v>0.950829837809041</v>
      </c>
      <c r="J130" s="0" t="n">
        <f aca="false">_xlfn.NORM.DIST(H130,$E$196,$E$197,1)</f>
        <v>0.804911517810057</v>
      </c>
    </row>
    <row r="131" customFormat="false" ht="12.8" hidden="false" customHeight="false" outlineLevel="0" collapsed="false">
      <c r="A131" s="0" t="n">
        <f aca="false">'Исходные данные'!A131</f>
        <v>0.312922</v>
      </c>
      <c r="B131" s="0" t="n">
        <f aca="false">'Исходные данные'!B131</f>
        <v>66.0619</v>
      </c>
      <c r="H131" s="0" t="n">
        <f aca="false">H130+6*$E$197/199</f>
        <v>0.775448032845109</v>
      </c>
      <c r="I131" s="0" t="n">
        <f aca="false">_xlfn.NORM.DIST(H131,$E$196,$E$197,0)</f>
        <v>0.926090670495804</v>
      </c>
      <c r="J131" s="0" t="n">
        <f aca="false">_xlfn.NORM.DIST(H131,$E$196,$E$197,1)</f>
        <v>0.813118615865896</v>
      </c>
    </row>
    <row r="132" customFormat="false" ht="12.8" hidden="false" customHeight="false" outlineLevel="0" collapsed="false">
      <c r="A132" s="0" t="n">
        <f aca="false">'Исходные данные'!A132</f>
        <v>0.0663043</v>
      </c>
      <c r="B132" s="0" t="n">
        <f aca="false">'Исходные данные'!B132</f>
        <v>66.1282</v>
      </c>
      <c r="H132" s="0" t="n">
        <f aca="false">H131+6*$E$197/199</f>
        <v>0.784193157214435</v>
      </c>
      <c r="I132" s="0" t="n">
        <f aca="false">_xlfn.NORM.DIST(H132,$E$196,$E$197,0)</f>
        <v>0.901175576920454</v>
      </c>
      <c r="J132" s="0" t="n">
        <f aca="false">_xlfn.NORM.DIST(H132,$E$196,$E$197,1)</f>
        <v>0.821108561242539</v>
      </c>
    </row>
    <row r="133" customFormat="false" ht="12.8" hidden="false" customHeight="false" outlineLevel="0" collapsed="false">
      <c r="A133" s="0" t="n">
        <f aca="false">'Исходные данные'!A133</f>
        <v>0.0395537</v>
      </c>
      <c r="B133" s="0" t="n">
        <f aca="false">'Исходные данные'!B133</f>
        <v>66.1677</v>
      </c>
      <c r="H133" s="0" t="n">
        <f aca="false">H132+6*$E$197/199</f>
        <v>0.79293828158376</v>
      </c>
      <c r="I133" s="0" t="n">
        <f aca="false">_xlfn.NORM.DIST(H133,$E$196,$E$197,0)</f>
        <v>0.876133959485596</v>
      </c>
      <c r="J133" s="0" t="n">
        <f aca="false">_xlfn.NORM.DIST(H133,$E$196,$E$197,1)</f>
        <v>0.828880032139427</v>
      </c>
    </row>
    <row r="134" customFormat="false" ht="12.8" hidden="false" customHeight="false" outlineLevel="0" collapsed="false">
      <c r="A134" s="0" t="n">
        <f aca="false">'Исходные данные'!A134</f>
        <v>0.572613</v>
      </c>
      <c r="B134" s="0" t="n">
        <f aca="false">'Исходные данные'!B134</f>
        <v>66.7403</v>
      </c>
      <c r="H134" s="0" t="n">
        <f aca="false">H133+6*$E$197/199</f>
        <v>0.801683405953086</v>
      </c>
      <c r="I134" s="0" t="n">
        <f aca="false">_xlfn.NORM.DIST(H134,$E$196,$E$197,0)</f>
        <v>0.851014210089696</v>
      </c>
      <c r="J134" s="0" t="n">
        <f aca="false">_xlfn.NORM.DIST(H134,$E$196,$E$197,1)</f>
        <v>0.836432134476832</v>
      </c>
    </row>
    <row r="135" customFormat="false" ht="12.8" hidden="false" customHeight="false" outlineLevel="0" collapsed="false">
      <c r="A135" s="0" t="n">
        <f aca="false">'Исходные данные'!A135</f>
        <v>0.806597</v>
      </c>
      <c r="B135" s="0" t="n">
        <f aca="false">'Исходные данные'!B135</f>
        <v>67.5469</v>
      </c>
      <c r="H135" s="0" t="n">
        <f aca="false">H134+6*$E$197/199</f>
        <v>0.810428530322412</v>
      </c>
      <c r="I135" s="0" t="n">
        <f aca="false">_xlfn.NORM.DIST(H135,$E$196,$E$197,0)</f>
        <v>0.825863564806037</v>
      </c>
      <c r="J135" s="0" t="n">
        <f aca="false">_xlfn.NORM.DIST(H135,$E$196,$E$197,1)</f>
        <v>0.843764392416871</v>
      </c>
    </row>
    <row r="136" customFormat="false" ht="12.8" hidden="false" customHeight="false" outlineLevel="0" collapsed="false">
      <c r="A136" s="0" t="n">
        <f aca="false">'Исходные данные'!A136</f>
        <v>0.95176</v>
      </c>
      <c r="B136" s="0" t="n">
        <f aca="false">'Исходные данные'!B136</f>
        <v>68.4987</v>
      </c>
      <c r="H136" s="0" t="n">
        <f aca="false">H135+6*$E$197/199</f>
        <v>0.819173654691737</v>
      </c>
      <c r="I136" s="0" t="n">
        <f aca="false">_xlfn.NORM.DIST(H136,$E$196,$E$197,0)</f>
        <v>0.800727967837313</v>
      </c>
      <c r="J136" s="0" t="n">
        <f aca="false">_xlfn.NORM.DIST(H136,$E$196,$E$197,1)</f>
        <v>0.85087673765386</v>
      </c>
    </row>
    <row r="137" customFormat="false" ht="12.8" hidden="false" customHeight="false" outlineLevel="0" collapsed="false">
      <c r="A137" s="0" t="n">
        <f aca="false">'Исходные данные'!A137</f>
        <v>0.882406</v>
      </c>
      <c r="B137" s="0" t="n">
        <f aca="false">'Исходные данные'!B137</f>
        <v>69.3811</v>
      </c>
      <c r="H137" s="0" t="n">
        <f aca="false">H136+6*$E$197/199</f>
        <v>0.827918779061063</v>
      </c>
      <c r="I137" s="0" t="n">
        <f aca="false">_xlfn.NORM.DIST(H137,$E$196,$E$197,0)</f>
        <v>0.775651945210681</v>
      </c>
      <c r="J137" s="0" t="n">
        <f aca="false">_xlfn.NORM.DIST(H137,$E$196,$E$197,1)</f>
        <v>0.857769497557228</v>
      </c>
    </row>
    <row r="138" customFormat="false" ht="12.8" hidden="false" customHeight="false" outlineLevel="0" collapsed="false">
      <c r="A138" s="0" t="n">
        <f aca="false">'Исходные данные'!A138</f>
        <v>0.726409</v>
      </c>
      <c r="B138" s="0" t="n">
        <f aca="false">'Исходные данные'!B138</f>
        <v>70.1075</v>
      </c>
      <c r="H138" s="0" t="n">
        <f aca="false">H137+6*$E$197/199</f>
        <v>0.836663903430389</v>
      </c>
      <c r="I138" s="0" t="n">
        <f aca="false">_xlfn.NORM.DIST(H138,$E$196,$E$197,0)</f>
        <v>0.750678488603559</v>
      </c>
      <c r="J138" s="0" t="n">
        <f aca="false">_xlfn.NORM.DIST(H138,$E$196,$E$197,1)</f>
        <v>0.8644433822539</v>
      </c>
    </row>
    <row r="139" customFormat="false" ht="12.8" hidden="false" customHeight="false" outlineLevel="0" collapsed="false">
      <c r="A139" s="0" t="n">
        <f aca="false">'Исходные данные'!A139</f>
        <v>0.0862894</v>
      </c>
      <c r="B139" s="0" t="n">
        <f aca="false">'Исходные данные'!B139</f>
        <v>70.1938</v>
      </c>
      <c r="H139" s="0" t="n">
        <f aca="false">H138+6*$E$197/199</f>
        <v>0.845409027799715</v>
      </c>
      <c r="I139" s="0" t="n">
        <f aca="false">_xlfn.NORM.DIST(H139,$E$196,$E$197,0)</f>
        <v>0.725848949615326</v>
      </c>
      <c r="J139" s="0" t="n">
        <f aca="false">_xlfn.NORM.DIST(H139,$E$196,$E$197,1)</f>
        <v>0.870899470740208</v>
      </c>
    </row>
    <row r="140" customFormat="false" ht="12.8" hidden="false" customHeight="false" outlineLevel="0" collapsed="false">
      <c r="A140" s="0" t="n">
        <f aca="false">'Исходные данные'!A140</f>
        <v>0.331059</v>
      </c>
      <c r="B140" s="0" t="n">
        <f aca="false">'Исходные данные'!B140</f>
        <v>70.5249</v>
      </c>
      <c r="H140" s="0" t="n">
        <f aca="false">H139+6*$E$197/199</f>
        <v>0.85415415216904</v>
      </c>
      <c r="I140" s="0" t="n">
        <f aca="false">_xlfn.NORM.DIST(H140,$E$196,$E$197,0)</f>
        <v>0.701202944725002</v>
      </c>
      <c r="J140" s="0" t="n">
        <f aca="false">_xlfn.NORM.DIST(H140,$E$196,$E$197,1)</f>
        <v>0.87713919611577</v>
      </c>
    </row>
    <row r="141" customFormat="false" ht="12.8" hidden="false" customHeight="false" outlineLevel="0" collapsed="false">
      <c r="A141" s="0" t="n">
        <f aca="false">'Исходные данные'!A141</f>
        <v>0.998665</v>
      </c>
      <c r="B141" s="0" t="n">
        <f aca="false">'Исходные данные'!B141</f>
        <v>71.5235</v>
      </c>
      <c r="H141" s="0" t="n">
        <f aca="false">H140+6*$E$197/199</f>
        <v>0.862899276538366</v>
      </c>
      <c r="I141" s="0" t="n">
        <f aca="false">_xlfn.NORM.DIST(H141,$E$196,$E$197,0)</f>
        <v>0.676778271100513</v>
      </c>
      <c r="J141" s="0" t="n">
        <f aca="false">_xlfn.NORM.DIST(H141,$E$196,$E$197,1)</f>
        <v>0.883164330033562</v>
      </c>
    </row>
    <row r="142" customFormat="false" ht="12.8" hidden="false" customHeight="false" outlineLevel="0" collapsed="false">
      <c r="A142" s="0" t="n">
        <f aca="false">'Исходные данные'!A142</f>
        <v>0.829758</v>
      </c>
      <c r="B142" s="0" t="n">
        <f aca="false">'Исходные данные'!B142</f>
        <v>72.3533</v>
      </c>
      <c r="H142" s="0" t="n">
        <f aca="false">H141+6*$E$197/199</f>
        <v>0.871644400907692</v>
      </c>
      <c r="I142" s="0" t="n">
        <f aca="false">_xlfn.NORM.DIST(H142,$E$196,$E$197,0)</f>
        <v>0.652610833351909</v>
      </c>
      <c r="J142" s="0" t="n">
        <f aca="false">_xlfn.NORM.DIST(H142,$E$196,$E$197,1)</f>
        <v>0.888976966461549</v>
      </c>
    </row>
    <row r="143" customFormat="false" ht="12.8" hidden="false" customHeight="false" outlineLevel="0" collapsed="false">
      <c r="A143" s="0" t="n">
        <f aca="false">'Исходные данные'!A143</f>
        <v>0.951782</v>
      </c>
      <c r="B143" s="0" t="n">
        <f aca="false">'Исходные данные'!B143</f>
        <v>73.3051</v>
      </c>
      <c r="H143" s="0" t="n">
        <f aca="false">H142+6*$E$197/199</f>
        <v>0.880389525277018</v>
      </c>
      <c r="I143" s="0" t="n">
        <f aca="false">_xlfn.NORM.DIST(H143,$E$196,$E$197,0)</f>
        <v>0.628734581249409</v>
      </c>
      <c r="J143" s="0" t="n">
        <f aca="false">_xlfn.NORM.DIST(H143,$E$196,$E$197,1)</f>
        <v>0.894579504851719</v>
      </c>
    </row>
    <row r="144" customFormat="false" ht="12.8" hidden="false" customHeight="false" outlineLevel="0" collapsed="false">
      <c r="A144" s="0" t="n">
        <f aca="false">'Исходные данные'!A144</f>
        <v>0.466706</v>
      </c>
      <c r="B144" s="0" t="n">
        <f aca="false">'Исходные данные'!B144</f>
        <v>73.7718</v>
      </c>
      <c r="H144" s="0" t="n">
        <f aca="false">H143+6*$E$197/199</f>
        <v>0.889134649646343</v>
      </c>
      <c r="I144" s="0" t="n">
        <f aca="false">_xlfn.NORM.DIST(H144,$E$196,$E$197,0)</f>
        <v>0.605181458357958</v>
      </c>
      <c r="J144" s="0" t="n">
        <f aca="false">_xlfn.NORM.DIST(H144,$E$196,$E$197,1)</f>
        <v>0.899974632812243</v>
      </c>
    </row>
    <row r="145" customFormat="false" ht="12.8" hidden="false" customHeight="false" outlineLevel="0" collapsed="false">
      <c r="A145" s="0" t="n">
        <f aca="false">'Исходные данные'!A145</f>
        <v>0.59413</v>
      </c>
      <c r="B145" s="0" t="n">
        <f aca="false">'Исходные данные'!B145</f>
        <v>74.3659</v>
      </c>
      <c r="H145" s="0" t="n">
        <f aca="false">H144+6*$E$197/199</f>
        <v>0.897879774015669</v>
      </c>
      <c r="I145" s="0" t="n">
        <f aca="false">_xlfn.NORM.DIST(H145,$E$196,$E$197,0)</f>
        <v>0.581981361473491</v>
      </c>
      <c r="J145" s="0" t="n">
        <f aca="false">_xlfn.NORM.DIST(H145,$E$196,$E$197,1)</f>
        <v>0.905165308377776</v>
      </c>
    </row>
    <row r="146" customFormat="false" ht="12.8" hidden="false" customHeight="false" outlineLevel="0" collapsed="false">
      <c r="A146" s="0" t="n">
        <f aca="false">'Исходные данные'!A146</f>
        <v>0.660088</v>
      </c>
      <c r="B146" s="0" t="n">
        <f aca="false">'Исходные данные'!B146</f>
        <v>75.026</v>
      </c>
      <c r="H146" s="0" t="n">
        <f aca="false">H145+6*$E$197/199</f>
        <v>0.906624898384995</v>
      </c>
      <c r="I146" s="0" t="n">
        <f aca="false">_xlfn.NORM.DIST(H146,$E$196,$E$197,0)</f>
        <v>0.559162110682886</v>
      </c>
      <c r="J146" s="0" t="n">
        <f aca="false">_xlfn.NORM.DIST(H146,$E$196,$E$197,1)</f>
        <v>0.910154741971632</v>
      </c>
    </row>
    <row r="147" customFormat="false" ht="12.8" hidden="false" customHeight="false" outlineLevel="0" collapsed="false">
      <c r="A147" s="0" t="n">
        <f aca="false">'Исходные данные'!A147</f>
        <v>0.681683</v>
      </c>
      <c r="B147" s="0" t="n">
        <f aca="false">'Исходные данные'!B147</f>
        <v>75.7077</v>
      </c>
      <c r="H147" s="0" t="n">
        <f aca="false">H146+6*$E$197/199</f>
        <v>0.91537002275432</v>
      </c>
      <c r="I147" s="0" t="n">
        <f aca="false">_xlfn.NORM.DIST(H147,$E$196,$E$197,0)</f>
        <v>0.536749429809852</v>
      </c>
      <c r="J147" s="0" t="n">
        <f aca="false">_xlfn.NORM.DIST(H147,$E$196,$E$197,1)</f>
        <v>0.914946378151735</v>
      </c>
    </row>
    <row r="148" customFormat="false" ht="12.8" hidden="false" customHeight="false" outlineLevel="0" collapsed="false">
      <c r="A148" s="0" t="n">
        <f aca="false">'Исходные данные'!A148</f>
        <v>0.98202</v>
      </c>
      <c r="B148" s="0" t="n">
        <f aca="false">'Исходные данные'!B148</f>
        <v>76.6897</v>
      </c>
      <c r="H148" s="0" t="n">
        <f aca="false">H147+6*$E$197/199</f>
        <v>0.924115147123646</v>
      </c>
      <c r="I148" s="0" t="n">
        <f aca="false">_xlfn.NORM.DIST(H148,$E$196,$E$197,0)</f>
        <v>0.514766936953297</v>
      </c>
      <c r="J148" s="0" t="n">
        <f aca="false">_xlfn.NORM.DIST(H148,$E$196,$E$197,1)</f>
        <v>0.919543877229927</v>
      </c>
    </row>
    <row r="149" customFormat="false" ht="12.8" hidden="false" customHeight="false" outlineLevel="0" collapsed="false">
      <c r="A149" s="0" t="n">
        <f aca="false">'Исходные данные'!A149</f>
        <v>0.658111</v>
      </c>
      <c r="B149" s="0" t="n">
        <f aca="false">'Исходные данные'!B149</f>
        <v>77.3478</v>
      </c>
      <c r="H149" s="0" t="n">
        <f aca="false">H148+6*$E$197/199</f>
        <v>0.932860271492972</v>
      </c>
      <c r="I149" s="0" t="n">
        <f aca="false">_xlfn.NORM.DIST(H149,$E$196,$E$197,0)</f>
        <v>0.493236144773144</v>
      </c>
      <c r="J149" s="0" t="n">
        <f aca="false">_xlfn.NORM.DIST(H149,$E$196,$E$197,1)</f>
        <v>0.923951096851428</v>
      </c>
    </row>
    <row r="150" customFormat="false" ht="12.8" hidden="false" customHeight="false" outlineLevel="0" collapsed="false">
      <c r="A150" s="0" t="n">
        <f aca="false">'Исходные данные'!A150</f>
        <v>0.426784</v>
      </c>
      <c r="B150" s="0" t="n">
        <f aca="false">'Исходные данные'!B150</f>
        <v>77.7746</v>
      </c>
      <c r="H150" s="0" t="n">
        <f aca="false">H149+6*$E$197/199</f>
        <v>0.941605395862298</v>
      </c>
      <c r="I150" s="0" t="n">
        <f aca="false">_xlfn.NORM.DIST(H150,$E$196,$E$197,0)</f>
        <v>0.472176470131569</v>
      </c>
      <c r="J150" s="0" t="n">
        <f aca="false">_xlfn.NORM.DIST(H150,$E$196,$E$197,1)</f>
        <v>0.928172073617998</v>
      </c>
    </row>
    <row r="151" customFormat="false" ht="12.8" hidden="false" customHeight="false" outlineLevel="0" collapsed="false">
      <c r="A151" s="0" t="n">
        <f aca="false">'Исходные данные'!A151</f>
        <v>0.108516</v>
      </c>
      <c r="B151" s="0" t="n">
        <f aca="false">'Исходные данные'!B151</f>
        <v>77.8831</v>
      </c>
      <c r="H151" s="0" t="n">
        <f aca="false">H150+6*$E$197/199</f>
        <v>0.950350520231623</v>
      </c>
      <c r="I151" s="0" t="n">
        <f aca="false">_xlfn.NORM.DIST(H151,$E$196,$E$197,0)</f>
        <v>0.451605252655204</v>
      </c>
      <c r="J151" s="0" t="n">
        <f aca="false">_xlfn.NORM.DIST(H151,$E$196,$E$197,1)</f>
        <v>0.932211004834762</v>
      </c>
    </row>
    <row r="152" customFormat="false" ht="12.8" hidden="false" customHeight="false" outlineLevel="0" collapsed="false">
      <c r="A152" s="0" t="n">
        <f aca="false">'Исходные данные'!A152</f>
        <v>0.620797</v>
      </c>
      <c r="B152" s="0" t="n">
        <f aca="false">'Исходные данные'!B152</f>
        <v>78.5039</v>
      </c>
      <c r="H152" s="0" t="n">
        <f aca="false">H151+6*$E$197/199</f>
        <v>0.959095644600949</v>
      </c>
      <c r="I152" s="0" t="n">
        <f aca="false">_xlfn.NORM.DIST(H152,$E$196,$E$197,0)</f>
        <v>0.431537781746334</v>
      </c>
      <c r="J152" s="0" t="n">
        <f aca="false">_xlfn.NORM.DIST(H152,$E$196,$E$197,1)</f>
        <v>0.936072230456652</v>
      </c>
    </row>
    <row r="153" customFormat="false" ht="12.8" hidden="false" customHeight="false" outlineLevel="0" collapsed="false">
      <c r="A153" s="0" t="n">
        <f aca="false">'Исходные данные'!A153</f>
        <v>0.162213</v>
      </c>
      <c r="B153" s="0" t="n">
        <f aca="false">'Исходные данные'!B153</f>
        <v>78.6661</v>
      </c>
      <c r="H153" s="0" t="n">
        <f aca="false">H152+6*$E$197/199</f>
        <v>0.967840768970275</v>
      </c>
      <c r="I153" s="0" t="n">
        <f aca="false">_xlfn.NORM.DIST(H153,$E$196,$E$197,0)</f>
        <v>0.411987331538489</v>
      </c>
      <c r="J153" s="0" t="n">
        <f aca="false">_xlfn.NORM.DIST(H153,$E$196,$E$197,1)</f>
        <v>0.939760215306191</v>
      </c>
    </row>
    <row r="154" customFormat="false" ht="12.8" hidden="false" customHeight="false" outlineLevel="0" collapsed="false">
      <c r="A154" s="0" t="n">
        <f aca="false">'Исходные данные'!A154</f>
        <v>0.649773</v>
      </c>
      <c r="B154" s="0" t="n">
        <f aca="false">'Исходные данные'!B154</f>
        <v>79.3159</v>
      </c>
      <c r="H154" s="0" t="n">
        <f aca="false">H153+6*$E$197/199</f>
        <v>0.976585893339601</v>
      </c>
      <c r="I154" s="0" t="n">
        <f aca="false">_xlfn.NORM.DIST(H154,$E$196,$E$197,0)</f>
        <v>0.392965203264151</v>
      </c>
      <c r="J154" s="0" t="n">
        <f aca="false">_xlfn.NORM.DIST(H154,$E$196,$E$197,1)</f>
        <v>0.943279531629765</v>
      </c>
    </row>
    <row r="155" customFormat="false" ht="12.8" hidden="false" customHeight="false" outlineLevel="0" collapsed="false">
      <c r="A155" s="0" t="n">
        <f aca="false">'Исходные данные'!A155</f>
        <v>0.952433</v>
      </c>
      <c r="B155" s="0" t="n">
        <f aca="false">'Исходные данные'!B155</f>
        <v>80.2683</v>
      </c>
      <c r="H155" s="0" t="n">
        <f aca="false">H154+6*$E$197/199</f>
        <v>0.985331017708926</v>
      </c>
      <c r="I155" s="0" t="n">
        <f aca="false">_xlfn.NORM.DIST(H155,$E$196,$E$197,0)</f>
        <v>0.374480774479694</v>
      </c>
      <c r="J155" s="0" t="n">
        <f aca="false">_xlfn.NORM.DIST(H155,$E$196,$E$197,1)</f>
        <v>0.946634842054811</v>
      </c>
    </row>
    <row r="156" customFormat="false" ht="12.8" hidden="false" customHeight="false" outlineLevel="0" collapsed="false">
      <c r="A156" s="0" t="n">
        <f aca="false">'Исходные данные'!A156</f>
        <v>0.231368</v>
      </c>
      <c r="B156" s="0" t="n">
        <f aca="false">'Исходные данные'!B156</f>
        <v>80.4997</v>
      </c>
      <c r="H156" s="0" t="n">
        <f aca="false">H155+6*$E$197/199</f>
        <v>0.994076142078252</v>
      </c>
      <c r="I156" s="0" t="n">
        <f aca="false">_xlfn.NORM.DIST(H156,$E$196,$E$197,0)</f>
        <v>0.356541554574901</v>
      </c>
      <c r="J156" s="0" t="n">
        <f aca="false">_xlfn.NORM.DIST(H156,$E$196,$E$197,1)</f>
        <v>0.949830883005382</v>
      </c>
    </row>
    <row r="157" customFormat="false" ht="12.8" hidden="false" customHeight="false" outlineLevel="0" collapsed="false">
      <c r="A157" s="0" t="n">
        <f aca="false">'Исходные данные'!A157</f>
        <v>0.582923</v>
      </c>
      <c r="B157" s="0" t="n">
        <f aca="false">'Исходные данные'!B157</f>
        <v>81.0826</v>
      </c>
      <c r="H157" s="0" t="n">
        <f aca="false">H156+6*$E$197/199</f>
        <v>1.00282126644758</v>
      </c>
      <c r="I157" s="0" t="n">
        <f aca="false">_xlfn.NORM.DIST(H157,$E$196,$E$197,0)</f>
        <v>0.339153245981585</v>
      </c>
      <c r="J157" s="0" t="n">
        <f aca="false">_xlfn.NORM.DIST(H157,$E$196,$E$197,1)</f>
        <v>0.952872448628491</v>
      </c>
    </row>
    <row r="158" customFormat="false" ht="12.8" hidden="false" customHeight="false" outlineLevel="0" collapsed="false">
      <c r="A158" s="0" t="n">
        <f aca="false">'Исходные данные'!A158</f>
        <v>0.00935459</v>
      </c>
      <c r="B158" s="0" t="n">
        <f aca="false">'Исходные данные'!B158</f>
        <v>81.092</v>
      </c>
      <c r="H158" s="0" t="n">
        <f aca="false">H157+6*$E$197/199</f>
        <v>1.0115663908169</v>
      </c>
      <c r="I158" s="0" t="n">
        <f aca="false">_xlfn.NORM.DIST(H158,$E$196,$E$197,0)</f>
        <v>0.322319810487736</v>
      </c>
      <c r="J158" s="0" t="n">
        <f aca="false">_xlfn.NORM.DIST(H158,$E$196,$E$197,1)</f>
        <v>0.955764375278507</v>
      </c>
    </row>
    <row r="159" customFormat="false" ht="12.8" hidden="false" customHeight="false" outlineLevel="0" collapsed="false">
      <c r="A159" s="0" t="n">
        <f aca="false">'Исходные данные'!A159</f>
        <v>0.562379</v>
      </c>
      <c r="B159" s="0" t="n">
        <f aca="false">'Исходные данные'!B159</f>
        <v>81.6543</v>
      </c>
      <c r="H159" s="0" t="n">
        <f aca="false">H158+6*$E$197/199</f>
        <v>1.02031151518623</v>
      </c>
      <c r="I159" s="0" t="n">
        <f aca="false">_xlfn.NORM.DIST(H159,$E$196,$E$197,0)</f>
        <v>0.306043540060102</v>
      </c>
      <c r="J159" s="0" t="n">
        <f aca="false">_xlfn.NORM.DIST(H159,$E$196,$E$197,1)</f>
        <v>0.958511526601612</v>
      </c>
    </row>
    <row r="160" customFormat="false" ht="12.8" hidden="false" customHeight="false" outlineLevel="0" collapsed="false">
      <c r="A160" s="0" t="n">
        <f aca="false">'Исходные данные'!A160</f>
        <v>0.683813</v>
      </c>
      <c r="B160" s="0" t="n">
        <f aca="false">'Исходные данные'!B160</f>
        <v>82.3382</v>
      </c>
      <c r="H160" s="0" t="n">
        <f aca="false">H159+6*$E$197/199</f>
        <v>1.02905663955556</v>
      </c>
      <c r="I160" s="0" t="n">
        <f aca="false">_xlfn.NORM.DIST(H160,$E$196,$E$197,0)</f>
        <v>0.290325131578982</v>
      </c>
      <c r="J160" s="0" t="n">
        <f aca="false">_xlfn.NORM.DIST(H160,$E$196,$E$197,1)</f>
        <v>0.961118779257155</v>
      </c>
    </row>
    <row r="161" customFormat="false" ht="12.8" hidden="false" customHeight="false" outlineLevel="0" collapsed="false">
      <c r="A161" s="0" t="n">
        <f aca="false">'Исходные данные'!A161</f>
        <v>0.779336</v>
      </c>
      <c r="B161" s="0" t="n">
        <f aca="false">'Исходные данные'!B161</f>
        <v>83.1175</v>
      </c>
      <c r="H161" s="0" t="n">
        <f aca="false">H160+6*$E$197/199</f>
        <v>1.03780176392488</v>
      </c>
      <c r="I161" s="0" t="n">
        <f aca="false">_xlfn.NORM.DIST(H161,$E$196,$E$197,0)</f>
        <v>0.275163764894115</v>
      </c>
      <c r="J161" s="0" t="n">
        <f aca="false">_xlfn.NORM.DIST(H161,$E$196,$E$197,1)</f>
        <v>0.963591009307521</v>
      </c>
    </row>
    <row r="162" customFormat="false" ht="12.8" hidden="false" customHeight="false" outlineLevel="0" collapsed="false">
      <c r="A162" s="0" t="n">
        <f aca="false">'Исходные данные'!A162</f>
        <v>0.355259</v>
      </c>
      <c r="B162" s="0" t="n">
        <f aca="false">'Исходные данные'!B162</f>
        <v>83.4727</v>
      </c>
      <c r="H162" s="0" t="n">
        <f aca="false">H161+6*$E$197/199</f>
        <v>1.04654688829421</v>
      </c>
      <c r="I162" s="0" t="n">
        <f aca="false">_xlfn.NORM.DIST(H162,$E$196,$E$197,0)</f>
        <v>0.26055718361951</v>
      </c>
      <c r="J162" s="0" t="n">
        <f aca="false">_xlfn.NORM.DIST(H162,$E$196,$E$197,1)</f>
        <v>0.965933079303001</v>
      </c>
    </row>
    <row r="163" customFormat="false" ht="12.8" hidden="false" customHeight="false" outlineLevel="0" collapsed="false">
      <c r="A163" s="0" t="n">
        <f aca="false">'Исходные данные'!A163</f>
        <v>0.899256</v>
      </c>
      <c r="B163" s="0" t="n">
        <f aca="false">'Исходные данные'!B163</f>
        <v>84.372</v>
      </c>
      <c r="H163" s="0" t="n">
        <f aca="false">H162+6*$E$197/199</f>
        <v>1.05529201266353</v>
      </c>
      <c r="I163" s="0" t="n">
        <f aca="false">_xlfn.NORM.DIST(H163,$E$196,$E$197,0)</f>
        <v>0.246501778097776</v>
      </c>
      <c r="J163" s="0" t="n">
        <f aca="false">_xlfn.NORM.DIST(H163,$E$196,$E$197,1)</f>
        <v>0.968149826083127</v>
      </c>
    </row>
    <row r="164" customFormat="false" ht="12.8" hidden="false" customHeight="false" outlineLevel="0" collapsed="false">
      <c r="A164" s="0" t="n">
        <f aca="false">'Исходные данные'!A164</f>
        <v>0.585291</v>
      </c>
      <c r="B164" s="0" t="n">
        <f aca="false">'Исходные данные'!B164</f>
        <v>84.9573</v>
      </c>
      <c r="H164" s="0" t="n">
        <f aca="false">H163+6*$E$197/199</f>
        <v>1.06403713703286</v>
      </c>
      <c r="I164" s="0" t="n">
        <f aca="false">_xlfn.NORM.DIST(H164,$E$196,$E$197,0)</f>
        <v>0.232992669980503</v>
      </c>
      <c r="J164" s="0" t="n">
        <f aca="false">_xlfn.NORM.DIST(H164,$E$196,$E$197,1)</f>
        <v>0.970246049310992</v>
      </c>
    </row>
    <row r="165" customFormat="false" ht="12.8" hidden="false" customHeight="false" outlineLevel="0" collapsed="false">
      <c r="A165" s="0" t="n">
        <f aca="false">'Исходные данные'!A165</f>
        <v>0.610567</v>
      </c>
      <c r="B165" s="0" t="n">
        <f aca="false">'Исходные данные'!B165</f>
        <v>85.5679</v>
      </c>
      <c r="H165" s="0" t="n">
        <f aca="false">H164+6*$E$197/199</f>
        <v>1.07278226140218</v>
      </c>
      <c r="I165" s="0" t="n">
        <f aca="false">_xlfn.NORM.DIST(H165,$E$196,$E$197,0)</f>
        <v>0.220023797890441</v>
      </c>
      <c r="J165" s="0" t="n">
        <f aca="false">_xlfn.NORM.DIST(H165,$E$196,$E$197,1)</f>
        <v>0.972226500752358</v>
      </c>
    </row>
    <row r="166" customFormat="false" ht="12.8" hidden="false" customHeight="false" outlineLevel="0" collapsed="false">
      <c r="A166" s="0" t="n">
        <f aca="false">'Исходные данные'!A166</f>
        <v>0.0559395</v>
      </c>
      <c r="B166" s="0" t="n">
        <f aca="false">'Исходные данные'!B166</f>
        <v>85.6238</v>
      </c>
      <c r="H166" s="0" t="n">
        <f aca="false">H165+6*$E$197/199</f>
        <v>1.08152738577151</v>
      </c>
      <c r="I166" s="0" t="n">
        <f aca="false">_xlfn.NORM.DIST(H166,$E$196,$E$197,0)</f>
        <v>0.207588003653033</v>
      </c>
      <c r="J166" s="0" t="n">
        <f aca="false">_xlfn.NORM.DIST(H166,$E$196,$E$197,1)</f>
        <v>0.974095874306741</v>
      </c>
    </row>
    <row r="167" customFormat="false" ht="12.8" hidden="false" customHeight="false" outlineLevel="0" collapsed="false">
      <c r="A167" s="0" t="n">
        <f aca="false">'Исходные данные'!A167</f>
        <v>0.0841219</v>
      </c>
      <c r="B167" s="0" t="n">
        <f aca="false">'Исходные данные'!B167</f>
        <v>85.7079</v>
      </c>
      <c r="H167" s="0" t="n">
        <f aca="false">H166+6*$E$197/199</f>
        <v>1.09027251014084</v>
      </c>
      <c r="I167" s="0" t="n">
        <f aca="false">_xlfn.NORM.DIST(H167,$E$196,$E$197,0)</f>
        <v>0.195677118609259</v>
      </c>
      <c r="J167" s="0" t="n">
        <f aca="false">_xlfn.NORM.DIST(H167,$E$196,$E$197,1)</f>
        <v>0.975858796793298</v>
      </c>
    </row>
    <row r="168" customFormat="false" ht="12.8" hidden="false" customHeight="false" outlineLevel="0" collapsed="false">
      <c r="A168" s="0" t="n">
        <f aca="false">'Исходные данные'!A168</f>
        <v>0.516238</v>
      </c>
      <c r="B168" s="0" t="n">
        <f aca="false">'Исходные данные'!B168</f>
        <v>86.2242</v>
      </c>
      <c r="H168" s="0" t="n">
        <f aca="false">H167+6*$E$197/199</f>
        <v>1.09901763451016</v>
      </c>
      <c r="I168" s="0" t="n">
        <f aca="false">_xlfn.NORM.DIST(H168,$E$196,$E$197,0)</f>
        <v>0.184282049548123</v>
      </c>
      <c r="J168" s="0" t="n">
        <f aca="false">_xlfn.NORM.DIST(H168,$E$196,$E$197,1)</f>
        <v>0.977519819490204</v>
      </c>
    </row>
    <row r="169" customFormat="false" ht="12.8" hidden="false" customHeight="false" outlineLevel="0" collapsed="false">
      <c r="A169" s="0" t="n">
        <f aca="false">'Исходные данные'!A169</f>
        <v>0.53146</v>
      </c>
      <c r="B169" s="0" t="n">
        <f aca="false">'Исходные данные'!B169</f>
        <v>86.7556</v>
      </c>
      <c r="H169" s="0" t="n">
        <f aca="false">H168+6*$E$197/199</f>
        <v>1.10776275887949</v>
      </c>
      <c r="I169" s="0" t="n">
        <f aca="false">_xlfn.NORM.DIST(H169,$E$196,$E$197,0)</f>
        <v>0.173392863825401</v>
      </c>
      <c r="J169" s="0" t="n">
        <f aca="false">_xlfn.NORM.DIST(H169,$E$196,$E$197,1)</f>
        <v>0.979083410422261</v>
      </c>
    </row>
    <row r="170" customFormat="false" ht="12.8" hidden="false" customHeight="false" outlineLevel="0" collapsed="false">
      <c r="A170" s="0" t="n">
        <f aca="false">'Исходные данные'!A170</f>
        <v>0.146102</v>
      </c>
      <c r="B170" s="0" t="n">
        <f aca="false">'Исходные данные'!B170</f>
        <v>86.9017</v>
      </c>
      <c r="H170" s="0" t="n">
        <f aca="false">H169+6*$E$197/199</f>
        <v>1.11650788324881</v>
      </c>
      <c r="I170" s="0" t="n">
        <f aca="false">_xlfn.NORM.DIST(H170,$E$196,$E$197,0)</f>
        <v>0.16299887326492</v>
      </c>
      <c r="J170" s="0" t="n">
        <f aca="false">_xlfn.NORM.DIST(H170,$E$196,$E$197,1)</f>
        <v>0.980553947387838</v>
      </c>
    </row>
    <row r="171" customFormat="false" ht="12.8" hidden="false" customHeight="false" outlineLevel="0" collapsed="false">
      <c r="A171" s="0" t="n">
        <f aca="false">'Исходные данные'!A171</f>
        <v>0.572873</v>
      </c>
      <c r="B171" s="0" t="n">
        <f aca="false">'Исходные данные'!B171</f>
        <v>87.4746</v>
      </c>
      <c r="H171" s="0" t="n">
        <f aca="false">H170+6*$E$197/199</f>
        <v>1.12525300761814</v>
      </c>
      <c r="I171" s="0" t="n">
        <f aca="false">_xlfn.NORM.DIST(H171,$E$196,$E$197,0)</f>
        <v>0.153088716469503</v>
      </c>
      <c r="J171" s="0" t="n">
        <f aca="false">_xlfn.NORM.DIST(H171,$E$196,$E$197,1)</f>
        <v>0.981935711712847</v>
      </c>
    </row>
    <row r="172" customFormat="false" ht="12.8" hidden="false" customHeight="false" outlineLevel="0" collapsed="false">
      <c r="A172" s="0" t="n">
        <f aca="false">'Исходные данные'!A172</f>
        <v>0.580506</v>
      </c>
      <c r="B172" s="0" t="n">
        <f aca="false">'Исходные данные'!B172</f>
        <v>88.0551</v>
      </c>
      <c r="H172" s="0" t="n">
        <f aca="false">H171+6*$E$197/199</f>
        <v>1.13399813198746</v>
      </c>
      <c r="I172" s="0" t="n">
        <f aca="false">_xlfn.NORM.DIST(H172,$E$196,$E$197,0)</f>
        <v>0.143650439200364</v>
      </c>
      <c r="J172" s="0" t="n">
        <f aca="false">_xlfn.NORM.DIST(H172,$E$196,$E$197,1)</f>
        <v>0.983232882716335</v>
      </c>
    </row>
    <row r="173" customFormat="false" ht="12.8" hidden="false" customHeight="false" outlineLevel="0" collapsed="false">
      <c r="A173" s="0" t="n">
        <f aca="false">'Исходные данные'!A173</f>
        <v>0.517529</v>
      </c>
      <c r="B173" s="0" t="n">
        <f aca="false">'Исходные данные'!B173</f>
        <v>88.5726</v>
      </c>
      <c r="H173" s="0" t="n">
        <f aca="false">H172+6*$E$197/199</f>
        <v>1.14274325635679</v>
      </c>
      <c r="I173" s="0" t="n">
        <f aca="false">_xlfn.NORM.DIST(H173,$E$196,$E$197,0)</f>
        <v>0.134671572515969</v>
      </c>
      <c r="J173" s="0" t="n">
        <f aca="false">_xlfn.NORM.DIST(H173,$E$196,$E$197,1)</f>
        <v>0.984449532869411</v>
      </c>
    </row>
    <row r="174" customFormat="false" ht="12.8" hidden="false" customHeight="false" outlineLevel="0" collapsed="false">
      <c r="A174" s="0" t="n">
        <f aca="false">'Исходные данные'!A174</f>
        <v>0.777837</v>
      </c>
      <c r="B174" s="0" t="n">
        <f aca="false">'Исходные данные'!B174</f>
        <v>89.3505</v>
      </c>
      <c r="H174" s="0" t="n">
        <f aca="false">H173+6*$E$197/199</f>
        <v>1.15148838072612</v>
      </c>
      <c r="I174" s="0" t="n">
        <f aca="false">_xlfn.NORM.DIST(H174,$E$196,$E$197,0)</f>
        <v>0.126139208393796</v>
      </c>
      <c r="J174" s="0" t="n">
        <f aca="false">_xlfn.NORM.DIST(H174,$E$196,$E$197,1)</f>
        <v>0.985589623626695</v>
      </c>
    </row>
    <row r="175" customFormat="false" ht="12.8" hidden="false" customHeight="false" outlineLevel="0" collapsed="false">
      <c r="A175" s="0" t="n">
        <f aca="false">'Исходные данные'!A175</f>
        <v>0.126983</v>
      </c>
      <c r="B175" s="0" t="n">
        <f aca="false">'Исходные данные'!B175</f>
        <v>89.4774</v>
      </c>
      <c r="H175" s="0" t="n">
        <f aca="false">H174+6*$E$197/199</f>
        <v>1.16023350509544</v>
      </c>
      <c r="I175" s="0" t="n">
        <f aca="false">_xlfn.NORM.DIST(H175,$E$196,$E$197,0)</f>
        <v>0.118040072590905</v>
      </c>
      <c r="J175" s="0" t="n">
        <f aca="false">_xlfn.NORM.DIST(H175,$E$196,$E$197,1)</f>
        <v>0.986657001907183</v>
      </c>
    </row>
    <row r="176" customFormat="false" ht="12.8" hidden="false" customHeight="false" outlineLevel="0" collapsed="false">
      <c r="A176" s="0" t="n">
        <f aca="false">'Исходные данные'!A176</f>
        <v>0.200816</v>
      </c>
      <c r="B176" s="0" t="n">
        <f aca="false">'Исходные данные'!B176</f>
        <v>89.6783</v>
      </c>
      <c r="H176" s="0" t="n">
        <f aca="false">H175+6*$E$197/199</f>
        <v>1.16897862946477</v>
      </c>
      <c r="I176" s="0" t="n">
        <f aca="false">_xlfn.NORM.DIST(H176,$E$196,$E$197,0)</f>
        <v>0.110360594531314</v>
      </c>
      <c r="J176" s="0" t="n">
        <f aca="false">_xlfn.NORM.DIST(H176,$E$196,$E$197,1)</f>
        <v>0.987655397199429</v>
      </c>
    </row>
    <row r="177" customFormat="false" ht="12.8" hidden="false" customHeight="false" outlineLevel="0" collapsed="false">
      <c r="A177" s="0" t="n">
        <f aca="false">'Исходные данные'!A177</f>
        <v>0.282026</v>
      </c>
      <c r="B177" s="0" t="n">
        <f aca="false">'Исходные данные'!B177</f>
        <v>89.9603</v>
      </c>
      <c r="H177" s="0" t="n">
        <f aca="false">H176+6*$E$197/199</f>
        <v>1.17772375383409</v>
      </c>
      <c r="I177" s="0" t="n">
        <f aca="false">_xlfn.NORM.DIST(H177,$E$196,$E$197,0)</f>
        <v>0.103086974039864</v>
      </c>
      <c r="J177" s="0" t="n">
        <f aca="false">_xlfn.NORM.DIST(H177,$E$196,$E$197,1)</f>
        <v>0.988588419264225</v>
      </c>
    </row>
    <row r="178" customFormat="false" ht="12.8" hidden="false" customHeight="false" outlineLevel="0" collapsed="false">
      <c r="A178" s="0" t="n">
        <f aca="false">'Исходные данные'!A178</f>
        <v>0.388129</v>
      </c>
      <c r="B178" s="0" t="n">
        <f aca="false">'Исходные данные'!B178</f>
        <v>90.3484</v>
      </c>
      <c r="H178" s="0" t="n">
        <f aca="false">H177+6*$E$197/199</f>
        <v>1.18646887820342</v>
      </c>
      <c r="I178" s="0" t="n">
        <f aca="false">_xlfn.NORM.DIST(H178,$E$196,$E$197,0)</f>
        <v>0.0962052447731186</v>
      </c>
      <c r="J178" s="0" t="n">
        <f aca="false">_xlfn.NORM.DIST(H178,$E$196,$E$197,1)</f>
        <v>0.989459556406542</v>
      </c>
    </row>
    <row r="179" customFormat="false" ht="12.8" hidden="false" customHeight="false" outlineLevel="0" collapsed="false">
      <c r="A179" s="0" t="n">
        <f aca="false">'Исходные данные'!A179</f>
        <v>0.617838</v>
      </c>
      <c r="B179" s="0" t="n">
        <f aca="false">'Исходные данные'!B179</f>
        <v>90.9663</v>
      </c>
      <c r="H179" s="0" t="n">
        <f aca="false">H178+6*$E$197/199</f>
        <v>1.19521400257274</v>
      </c>
      <c r="I179" s="0" t="n">
        <f aca="false">_xlfn.NORM.DIST(H179,$E$196,$E$197,0)</f>
        <v>0.0897013342278151</v>
      </c>
      <c r="J179" s="0" t="n">
        <f aca="false">_xlfn.NORM.DIST(H179,$E$196,$E$197,1)</f>
        <v>0.99027217428729</v>
      </c>
    </row>
    <row r="180" customFormat="false" ht="12.8" hidden="false" customHeight="false" outlineLevel="0" collapsed="false">
      <c r="A180" s="0" t="n">
        <f aca="false">'Исходные данные'!A180</f>
        <v>0.73772</v>
      </c>
      <c r="B180" s="0" t="n">
        <f aca="false">'Исходные данные'!B180</f>
        <v>91.704</v>
      </c>
      <c r="H180" s="0" t="n">
        <f aca="false">H179+6*$E$197/199</f>
        <v>1.20395912694207</v>
      </c>
      <c r="I180" s="0" t="n">
        <f aca="false">_xlfn.NORM.DIST(H180,$E$196,$E$197,0)</f>
        <v>0.0835611202362393</v>
      </c>
      <c r="J180" s="0" t="n">
        <f aca="false">_xlfn.NORM.DIST(H180,$E$196,$E$197,1)</f>
        <v>0.991029515244549</v>
      </c>
    </row>
    <row r="181" customFormat="false" ht="12.8" hidden="false" customHeight="false" outlineLevel="0" collapsed="false">
      <c r="A181" s="0" t="n">
        <f aca="false">'Исходные данные'!A181</f>
        <v>0.984708</v>
      </c>
      <c r="B181" s="0" t="n">
        <f aca="false">'Исходные данные'!B181</f>
        <v>92.6887</v>
      </c>
      <c r="H181" s="0" t="n">
        <f aca="false">H180+6*$E$197/199</f>
        <v>1.2127042513114</v>
      </c>
      <c r="I181" s="0" t="n">
        <f aca="false">_xlfn.NORM.DIST(H181,$E$196,$E$197,0)</f>
        <v>0.0777704838854861</v>
      </c>
      <c r="J181" s="0" t="n">
        <f aca="false">_xlfn.NORM.DIST(H181,$E$196,$E$197,1)</f>
        <v>0.991734698093268</v>
      </c>
    </row>
    <row r="182" customFormat="false" ht="12.8" hidden="false" customHeight="false" outlineLevel="0" collapsed="false">
      <c r="A182" s="0" t="n">
        <f aca="false">'Исходные данные'!A182</f>
        <v>0.1668</v>
      </c>
      <c r="B182" s="0" t="n">
        <f aca="false">'Исходные данные'!B182</f>
        <v>92.8555</v>
      </c>
      <c r="H182" s="0" t="n">
        <f aca="false">H181+6*$E$197/199</f>
        <v>1.22144937568072</v>
      </c>
      <c r="I182" s="0" t="n">
        <f aca="false">_xlfn.NORM.DIST(H182,$E$196,$E$197,0)</f>
        <v>0.0723153588237595</v>
      </c>
      <c r="J182" s="0" t="n">
        <f aca="false">_xlfn.NORM.DIST(H182,$E$196,$E$197,1)</f>
        <v>0.99239071837196</v>
      </c>
    </row>
    <row r="183" customFormat="false" ht="12.8" hidden="false" customHeight="false" outlineLevel="0" collapsed="false">
      <c r="A183" s="0" t="n">
        <f aca="false">'Исходные данные'!A183</f>
        <v>0.847617</v>
      </c>
      <c r="B183" s="0" t="n">
        <f aca="false">'Исходные данные'!B183</f>
        <v>93.7031</v>
      </c>
      <c r="H183" s="0" t="n">
        <f aca="false">H182+6*$E$197/199</f>
        <v>1.23019450005005</v>
      </c>
      <c r="I183" s="0" t="n">
        <f aca="false">_xlfn.NORM.DIST(H183,$E$196,$E$197,0)</f>
        <v>0.0671817769415421</v>
      </c>
      <c r="J183" s="0" t="n">
        <f aca="false">_xlfn.NORM.DIST(H183,$E$196,$E$197,1)</f>
        <v>0.993000449004744</v>
      </c>
    </row>
    <row r="184" customFormat="false" ht="12.8" hidden="false" customHeight="false" outlineLevel="0" collapsed="false">
      <c r="A184" s="0" t="n">
        <f aca="false">'Исходные данные'!A184</f>
        <v>0.173706</v>
      </c>
      <c r="B184" s="0" t="n">
        <f aca="false">'Исходные данные'!B184</f>
        <v>93.8768</v>
      </c>
      <c r="H184" s="0" t="n">
        <f aca="false">H183+6*$E$197/199</f>
        <v>1.23893962441937</v>
      </c>
      <c r="I184" s="0" t="n">
        <f aca="false">_xlfn.NORM.DIST(H184,$E$196,$E$197,0)</f>
        <v>0.062355910438548</v>
      </c>
      <c r="J184" s="0" t="n">
        <f aca="false">_xlfn.NORM.DIST(H184,$E$196,$E$197,1)</f>
        <v>0.993566641347046</v>
      </c>
    </row>
    <row r="185" customFormat="false" ht="12.8" hidden="false" customHeight="false" outlineLevel="0" collapsed="false">
      <c r="A185" s="0" t="n">
        <f aca="false">'Исходные данные'!A185</f>
        <v>0.350287</v>
      </c>
      <c r="B185" s="0" t="n">
        <f aca="false">'Исходные данные'!B185</f>
        <v>94.2271</v>
      </c>
      <c r="H185" s="0" t="n">
        <f aca="false">H184+6*$E$197/199</f>
        <v>1.2476847487887</v>
      </c>
      <c r="I185" s="0" t="n">
        <f aca="false">_xlfn.NORM.DIST(H185,$E$196,$E$197,0)</f>
        <v>0.0578241103087693</v>
      </c>
      <c r="J185" s="0" t="n">
        <f aca="false">_xlfn.NORM.DIST(H185,$E$196,$E$197,1)</f>
        <v>0.994091926583498</v>
      </c>
    </row>
    <row r="186" customFormat="false" ht="12.8" hidden="false" customHeight="false" outlineLevel="0" collapsed="false">
      <c r="A186" s="0" t="n">
        <f aca="false">'Исходные данные'!A186</f>
        <v>0.227376</v>
      </c>
      <c r="B186" s="0" t="n">
        <f aca="false">'Исходные данные'!B186</f>
        <v>94.4545</v>
      </c>
      <c r="H186" s="0" t="n">
        <f aca="false">H185+6*$E$197/199</f>
        <v>1.25642987315802</v>
      </c>
      <c r="I186" s="0" t="n">
        <f aca="false">_xlfn.NORM.DIST(H186,$E$196,$E$197,0)</f>
        <v>0.0535729412956073</v>
      </c>
      <c r="J186" s="0" t="n">
        <f aca="false">_xlfn.NORM.DIST(H186,$E$196,$E$197,1)</f>
        <v>0.994578817446907</v>
      </c>
    </row>
    <row r="187" customFormat="false" ht="12.8" hidden="false" customHeight="false" outlineLevel="0" collapsed="false">
      <c r="A187" s="0" t="n">
        <f aca="false">'Исходные данные'!A187</f>
        <v>0.406313</v>
      </c>
      <c r="B187" s="0" t="n">
        <f aca="false">'Исходные данные'!B187</f>
        <v>94.8608</v>
      </c>
      <c r="H187" s="0" t="n">
        <f aca="false">H186+6*$E$197/199</f>
        <v>1.26517499752735</v>
      </c>
      <c r="I187" s="0" t="n">
        <f aca="false">_xlfn.NORM.DIST(H187,$E$196,$E$197,0)</f>
        <v>0.0495892133869903</v>
      </c>
      <c r="J187" s="0" t="n">
        <f aca="false">_xlfn.NORM.DIST(H187,$E$196,$E$197,1)</f>
        <v>0.995029710227726</v>
      </c>
    </row>
    <row r="188" customFormat="false" ht="12.8" hidden="false" customHeight="false" outlineLevel="0" collapsed="false">
      <c r="A188" s="0" t="n">
        <f aca="false">'Исходные данные'!A188</f>
        <v>0.952343</v>
      </c>
      <c r="B188" s="0" t="n">
        <f aca="false">'Исходные данные'!B188</f>
        <v>95.8131</v>
      </c>
      <c r="H188" s="0" t="n">
        <f aca="false">H187+6*$E$197/199</f>
        <v>1.27392012189668</v>
      </c>
      <c r="I188" s="0" t="n">
        <f aca="false">_xlfn.NORM.DIST(H188,$E$196,$E$197,0)</f>
        <v>0.0458600099365254</v>
      </c>
      <c r="J188" s="0" t="n">
        <f aca="false">_xlfn.NORM.DIST(H188,$E$196,$E$197,1)</f>
        <v>0.995446887044133</v>
      </c>
    </row>
    <row r="189" customFormat="false" ht="12.8" hidden="false" customHeight="false" outlineLevel="0" collapsed="false">
      <c r="A189" s="0" t="n">
        <f aca="false">'Исходные данные'!A189</f>
        <v>0.919231</v>
      </c>
      <c r="B189" s="0" t="n">
        <f aca="false">'Исходные данные'!B189</f>
        <v>96.7324</v>
      </c>
      <c r="H189" s="0" t="n">
        <f aca="false">H188+6*$E$197/199</f>
        <v>1.282665246266</v>
      </c>
      <c r="I189" s="0" t="n">
        <f aca="false">_xlfn.NORM.DIST(H189,$E$196,$E$197,0)</f>
        <v>0.0423727125110928</v>
      </c>
      <c r="J189" s="0" t="n">
        <f aca="false">_xlfn.NORM.DIST(H189,$E$196,$E$197,1)</f>
        <v>0.995832518343645</v>
      </c>
    </row>
    <row r="190" customFormat="false" ht="12.8" hidden="false" customHeight="false" outlineLevel="0" collapsed="false">
      <c r="A190" s="0" t="n">
        <f aca="false">'Исходные данные'!A190</f>
        <v>0.53102</v>
      </c>
      <c r="B190" s="0" t="n">
        <f aca="false">'Исходные данные'!B190</f>
        <v>97.2634</v>
      </c>
      <c r="H190" s="0" t="n">
        <f aca="false">H189+6*$E$197/199</f>
        <v>1.29141037063533</v>
      </c>
      <c r="I190" s="0" t="n">
        <f aca="false">_xlfn.NORM.DIST(H190,$E$196,$E$197,0)</f>
        <v>0.0391150225779037</v>
      </c>
      <c r="J190" s="0" t="n">
        <f aca="false">_xlfn.NORM.DIST(H190,$E$196,$E$197,1)</f>
        <v>0.996188665608113</v>
      </c>
    </row>
    <row r="191" customFormat="false" ht="12.8" hidden="false" customHeight="false" outlineLevel="0" collapsed="false">
      <c r="A191" s="0" t="n">
        <f aca="false">'Исходные данные'!A191</f>
        <v>0.334722</v>
      </c>
      <c r="B191" s="0" t="n">
        <f aca="false">'Исходные данные'!B191</f>
        <v>97.5981</v>
      </c>
      <c r="H191" s="0" t="n">
        <f aca="false">H190+6*$E$197/199</f>
        <v>1.30015549500465</v>
      </c>
      <c r="I191" s="0" t="n">
        <f aca="false">_xlfn.NORM.DIST(H191,$E$196,$E$197,0)</f>
        <v>0.0360749801549196</v>
      </c>
      <c r="J191" s="0" t="n">
        <f aca="false">_xlfn.NORM.DIST(H191,$E$196,$E$197,1)</f>
        <v>0.996517284235007</v>
      </c>
    </row>
    <row r="192" customFormat="false" ht="12.8" hidden="false" customHeight="false" outlineLevel="0" collapsed="false">
      <c r="A192" s="0" t="n">
        <f aca="false">'Исходные данные'!A192</f>
        <v>0.71446</v>
      </c>
      <c r="B192" s="0" t="n">
        <f aca="false">'Исходные данные'!B192</f>
        <v>98.3126</v>
      </c>
      <c r="H192" s="0" t="n">
        <f aca="false">H191+6*$E$197/199</f>
        <v>1.30890061937398</v>
      </c>
      <c r="I192" s="0" t="n">
        <f aca="false">_xlfn.NORM.DIST(H192,$E$196,$E$197,0)</f>
        <v>0.0332409795577342</v>
      </c>
      <c r="J192" s="0" t="n">
        <f aca="false">_xlfn.NORM.DIST(H192,$E$196,$E$197,1)</f>
        <v>0.99682022656901</v>
      </c>
    </row>
    <row r="193" customFormat="false" ht="12.8" hidden="false" customHeight="false" outlineLevel="0" collapsed="false">
      <c r="A193" s="0" t="n">
        <f aca="false">'Исходные данные'!A193</f>
        <v>0.752994</v>
      </c>
      <c r="B193" s="0" t="n">
        <f aca="false">'Исходные данные'!B193</f>
        <v>99.0656</v>
      </c>
      <c r="H193" s="0" t="n">
        <f aca="false">H192+6*$E$197/199</f>
        <v>1.3176457437433</v>
      </c>
      <c r="I193" s="0" t="n">
        <f aca="false">_xlfn.NORM.DIST(H193,$E$196,$E$197,0)</f>
        <v>0.0306017823835819</v>
      </c>
      <c r="J193" s="0" t="n">
        <f aca="false">_xlfn.NORM.DIST(H193,$E$196,$E$197,1)</f>
        <v>0.997099245059119</v>
      </c>
    </row>
    <row r="194" customFormat="false" ht="12.8" hidden="false" customHeight="false" outlineLevel="0" collapsed="false">
      <c r="A194" s="0" t="n">
        <f aca="false">'Исходные данные'!A194</f>
        <v>0.746421</v>
      </c>
      <c r="B194" s="0" t="n">
        <f aca="false">'Исходные данные'!B194</f>
        <v>99.812</v>
      </c>
      <c r="H194" s="0" t="n">
        <f aca="false">H193+6*$E$197/199</f>
        <v>1.32639086811263</v>
      </c>
      <c r="I194" s="0" t="n">
        <f aca="false">_xlfn.NORM.DIST(H194,$E$196,$E$197,0)</f>
        <v>0.0281465278791491</v>
      </c>
      <c r="J194" s="0" t="n">
        <f aca="false">_xlfn.NORM.DIST(H194,$E$196,$E$197,1)</f>
        <v>0.997355995517762</v>
      </c>
    </row>
    <row r="195" customFormat="false" ht="12.8" hidden="false" customHeight="false" outlineLevel="0" collapsed="false">
      <c r="A195" s="0" t="n">
        <f aca="false">'Исходные данные'!A195</f>
        <v>0.600008</v>
      </c>
      <c r="B195" s="0" t="n">
        <f aca="false">'Исходные данные'!B195</f>
        <v>100.412</v>
      </c>
      <c r="H195" s="0" t="n">
        <f aca="false">H194+6*$E$197/199</f>
        <v>1.33513599248196</v>
      </c>
      <c r="I195" s="0" t="n">
        <f aca="false">_xlfn.NORM.DIST(H195,$E$196,$E$197,0)</f>
        <v>0.0258647408433753</v>
      </c>
      <c r="J195" s="0" t="n">
        <f aca="false">_xlfn.NORM.DIST(H195,$E$196,$E$197,1)</f>
        <v>0.997592040459685</v>
      </c>
    </row>
    <row r="196" customFormat="false" ht="17.35" hidden="false" customHeight="false" outlineLevel="0" collapsed="false">
      <c r="A196" s="0" t="n">
        <f aca="false">'Исходные данные'!A196</f>
        <v>0.692963</v>
      </c>
      <c r="B196" s="0" t="n">
        <f aca="false">'Исходные данные'!B196</f>
        <v>101.105</v>
      </c>
      <c r="D196" s="3" t="s">
        <v>9</v>
      </c>
      <c r="E196" s="8" t="n">
        <f aca="false">AVERAGE(A2:A201)</f>
        <v>0.51746686395</v>
      </c>
      <c r="H196" s="0" t="n">
        <f aca="false">H195+6*$E$197/199</f>
        <v>1.34388111685128</v>
      </c>
      <c r="I196" s="0" t="n">
        <f aca="false">_xlfn.NORM.DIST(H196,$E$196,$E$197,0)</f>
        <v>0.0237463372195409</v>
      </c>
      <c r="J196" s="0" t="n">
        <f aca="false">_xlfn.NORM.DIST(H196,$E$196,$E$197,1)</f>
        <v>0.997808852499729</v>
      </c>
    </row>
    <row r="197" customFormat="false" ht="17.35" hidden="false" customHeight="false" outlineLevel="0" collapsed="false">
      <c r="A197" s="0" t="n">
        <f aca="false">'Исходные данные'!A197</f>
        <v>0.380041</v>
      </c>
      <c r="B197" s="0" t="n">
        <f aca="false">'Исходные данные'!B197</f>
        <v>101.485</v>
      </c>
      <c r="D197" s="3" t="s">
        <v>10</v>
      </c>
      <c r="E197" s="8" t="n">
        <f aca="false">STDEV(A2:A201)</f>
        <v>0.290046624915969</v>
      </c>
      <c r="H197" s="0" t="n">
        <f aca="false">H196+6*$E$197/199</f>
        <v>1.35262624122061</v>
      </c>
      <c r="I197" s="0" t="n">
        <f aca="false">_xlfn.NORM.DIST(H197,$E$196,$E$197,0)</f>
        <v>0.0217816275327217</v>
      </c>
      <c r="J197" s="0" t="n">
        <f aca="false">_xlfn.NORM.DIST(H197,$E$196,$E$197,1)</f>
        <v>0.998007817789983</v>
      </c>
    </row>
    <row r="198" customFormat="false" ht="12.8" hidden="false" customHeight="false" outlineLevel="0" collapsed="false">
      <c r="A198" s="0" t="n">
        <f aca="false">'Исходные данные'!A198</f>
        <v>0.851638</v>
      </c>
      <c r="B198" s="0" t="n">
        <f aca="false">'Исходные данные'!B198</f>
        <v>102.337</v>
      </c>
      <c r="H198" s="0" t="n">
        <f aca="false">H197+6*$E$197/199</f>
        <v>1.36137136558993</v>
      </c>
      <c r="I198" s="0" t="n">
        <f aca="false">_xlfn.NORM.DIST(H198,$E$196,$E$197,0)</f>
        <v>0.0199613183292457</v>
      </c>
      <c r="J198" s="0" t="n">
        <f aca="false">_xlfn.NORM.DIST(H198,$E$196,$E$197,1)</f>
        <v>0.998190239478143</v>
      </c>
    </row>
    <row r="199" customFormat="false" ht="12.8" hidden="false" customHeight="false" outlineLevel="0" collapsed="false">
      <c r="A199" s="0" t="n">
        <f aca="false">'Исходные данные'!A199</f>
        <v>0.174106</v>
      </c>
      <c r="B199" s="0" t="n">
        <f aca="false">'Исходные данные'!B199</f>
        <v>102.511</v>
      </c>
      <c r="H199" s="0" t="n">
        <f aca="false">H198+6*$E$197/199</f>
        <v>1.37011648995926</v>
      </c>
      <c r="I199" s="0" t="n">
        <f aca="false">_xlfn.NORM.DIST(H199,$E$196,$E$197,0)</f>
        <v>0.0182765117742052</v>
      </c>
      <c r="J199" s="0" t="n">
        <f aca="false">_xlfn.NORM.DIST(H199,$E$196,$E$197,1)</f>
        <v>0.998357341170294</v>
      </c>
    </row>
    <row r="200" customFormat="false" ht="12.8" hidden="false" customHeight="false" outlineLevel="0" collapsed="false">
      <c r="A200" s="0" t="n">
        <f aca="false">'Исходные данные'!A200</f>
        <v>0.7634</v>
      </c>
      <c r="B200" s="0" t="n">
        <f aca="false">'Исходные данные'!B200</f>
        <v>103.274</v>
      </c>
      <c r="H200" s="0" t="n">
        <f aca="false">H199+6*$E$197/199</f>
        <v>1.37886161432858</v>
      </c>
      <c r="I200" s="0" t="n">
        <f aca="false">_xlfn.NORM.DIST(H200,$E$196,$E$197,0)</f>
        <v>0.0167187035614557</v>
      </c>
      <c r="J200" s="0" t="n">
        <f aca="false">_xlfn.NORM.DIST(H200,$E$196,$E$197,1)</f>
        <v>0.99851027038268</v>
      </c>
    </row>
    <row r="201" customFormat="false" ht="17.35" hidden="false" customHeight="false" outlineLevel="0" collapsed="false">
      <c r="A201" s="0" t="n">
        <f aca="false">'Исходные данные'!A201</f>
        <v>0.219235</v>
      </c>
      <c r="B201" s="0" t="n">
        <f aca="false">'Исходные данные'!B201</f>
        <v>103.493</v>
      </c>
      <c r="F201" s="1" t="s">
        <v>11</v>
      </c>
      <c r="G201" s="0" t="n">
        <f aca="false">(E196+3*E197)</f>
        <v>1.38760673869791</v>
      </c>
      <c r="H201" s="0" t="n">
        <f aca="false">H200+6*$E$197/199</f>
        <v>1.38760673869791</v>
      </c>
      <c r="I201" s="0" t="n">
        <f aca="false">_xlfn.NORM.DIST(H201,$E$196,$E$197,0)</f>
        <v>0.0152797792879742</v>
      </c>
      <c r="J201" s="0" t="n">
        <f aca="false">_xlfn.NORM.DIST(H201,$E$196,$E$197,1)</f>
        <v>0.99865010196837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6"/>
  <sheetViews>
    <sheetView showFormulas="false" showGridLines="true" showRowColHeaders="true" showZeros="true" rightToLeft="false" tabSelected="false" showOutlineSymbols="true" defaultGridColor="true" view="normal" topLeftCell="A260" colorId="64" zoomScale="120" zoomScaleNormal="120" zoomScalePageLayoutView="100" workbookViewId="0">
      <selection pane="topLeft" activeCell="I2" activeCellId="0" sqref="I2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7.85"/>
    <col collapsed="false" customWidth="true" hidden="false" outlineLevel="0" max="7" min="7" style="0" width="17.85"/>
    <col collapsed="false" customWidth="true" hidden="false" outlineLevel="0" max="8" min="8" style="0" width="21.68"/>
    <col collapsed="false" customWidth="true" hidden="false" outlineLevel="0" max="9" min="9" style="0" width="36.58"/>
    <col collapsed="false" customWidth="true" hidden="false" outlineLevel="0" max="10" min="10" style="0" width="32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F1" s="2"/>
      <c r="H1" s="1" t="s">
        <v>5</v>
      </c>
      <c r="I1" s="1" t="s">
        <v>6</v>
      </c>
      <c r="J1" s="1" t="s">
        <v>7</v>
      </c>
    </row>
    <row r="2" customFormat="false" ht="17.35" hidden="false" customHeight="false" outlineLevel="0" collapsed="false">
      <c r="A2" s="0" t="n">
        <f aca="false">'Исходные данные'!A2</f>
        <v>0.59931</v>
      </c>
      <c r="B2" s="0" t="n">
        <f aca="false">'Исходные данные'!B2</f>
        <v>0.59931</v>
      </c>
      <c r="F2" s="1" t="s">
        <v>8</v>
      </c>
      <c r="G2" s="0" t="n">
        <f aca="false">(E271-3*E272)</f>
        <v>-0.348369852231567</v>
      </c>
      <c r="H2" s="0" t="n">
        <f aca="false">(E271-3*E272)</f>
        <v>-0.348369852231567</v>
      </c>
      <c r="I2" s="0" t="n">
        <f aca="false">_xlfn.NORM.DIST(H2,$E$271,$E$272,0)</f>
        <v>0.0154371271752658</v>
      </c>
      <c r="J2" s="0" t="n">
        <f aca="false">_xlfn.NORM.DIST(H2,$E$271,$E$272,1)</f>
        <v>0.00134989803163009</v>
      </c>
    </row>
    <row r="3" customFormat="false" ht="12.8" hidden="false" customHeight="false" outlineLevel="0" collapsed="false">
      <c r="A3" s="0" t="n">
        <f aca="false">'Исходные данные'!A3</f>
        <v>0.52672</v>
      </c>
      <c r="B3" s="0" t="n">
        <f aca="false">'Исходные данные'!B3</f>
        <v>1.12603</v>
      </c>
      <c r="H3" s="0" t="n">
        <f aca="false">H2+6*$E$272/274</f>
        <v>-0.34208320483001</v>
      </c>
      <c r="I3" s="0" t="n">
        <f aca="false">_xlfn.NORM.DIST(H3,$E$271,$E$272,0)</f>
        <v>0.0164813450311248</v>
      </c>
      <c r="J3" s="0" t="n">
        <f aca="false">_xlfn.NORM.DIST(H3,$E$271,$E$272,1)</f>
        <v>0.00145019632529288</v>
      </c>
    </row>
    <row r="4" customFormat="false" ht="12.8" hidden="false" customHeight="false" outlineLevel="0" collapsed="false">
      <c r="A4" s="0" t="n">
        <f aca="false">'Исходные данные'!A4</f>
        <v>0.39169</v>
      </c>
      <c r="B4" s="0" t="n">
        <f aca="false">'Исходные данные'!B4</f>
        <v>1.51772</v>
      </c>
      <c r="H4" s="0" t="n">
        <f aca="false">H3+6*$E$272/274</f>
        <v>-0.335796557428452</v>
      </c>
      <c r="I4" s="0" t="n">
        <f aca="false">_xlfn.NORM.DIST(H4,$E$271,$E$272,0)</f>
        <v>0.0175877616018515</v>
      </c>
      <c r="J4" s="0" t="n">
        <f aca="false">_xlfn.NORM.DIST(H4,$E$271,$E$272,1)</f>
        <v>0.00155725317439191</v>
      </c>
    </row>
    <row r="5" customFormat="false" ht="12.8" hidden="false" customHeight="false" outlineLevel="0" collapsed="false">
      <c r="A5" s="0" t="n">
        <f aca="false">'Исходные данные'!A5</f>
        <v>0.996682</v>
      </c>
      <c r="B5" s="0" t="n">
        <f aca="false">'Исходные данные'!B5</f>
        <v>2.5144</v>
      </c>
      <c r="H5" s="0" t="n">
        <f aca="false">H4+6*$E$272/274</f>
        <v>-0.329509910026894</v>
      </c>
      <c r="I5" s="0" t="n">
        <f aca="false">_xlfn.NORM.DIST(H5,$E$271,$E$272,0)</f>
        <v>0.0187594559394394</v>
      </c>
      <c r="J5" s="0" t="n">
        <f aca="false">_xlfn.NORM.DIST(H5,$E$271,$E$272,1)</f>
        <v>0.0016714692219989</v>
      </c>
    </row>
    <row r="6" customFormat="false" ht="12.8" hidden="false" customHeight="false" outlineLevel="0" collapsed="false">
      <c r="A6" s="0" t="n">
        <f aca="false">'Исходные данные'!A6</f>
        <v>0.574168</v>
      </c>
      <c r="B6" s="0" t="n">
        <f aca="false">'Исходные данные'!B6</f>
        <v>3.08857</v>
      </c>
      <c r="H6" s="0" t="n">
        <f aca="false">H5+6*$E$272/274</f>
        <v>-0.323223262625337</v>
      </c>
      <c r="I6" s="0" t="n">
        <f aca="false">_xlfn.NORM.DIST(H6,$E$271,$E$272,0)</f>
        <v>0.0199996160005094</v>
      </c>
      <c r="J6" s="0" t="n">
        <f aca="false">_xlfn.NORM.DIST(H6,$E$271,$E$272,1)</f>
        <v>0.00179326480987749</v>
      </c>
    </row>
    <row r="7" customFormat="false" ht="12.8" hidden="false" customHeight="false" outlineLevel="0" collapsed="false">
      <c r="A7" s="0" t="n">
        <f aca="false">'Исходные данные'!A7</f>
        <v>0.51831</v>
      </c>
      <c r="B7" s="0" t="n">
        <f aca="false">'Исходные данные'!B7</f>
        <v>3.60688</v>
      </c>
      <c r="H7" s="0" t="n">
        <f aca="false">H6+6*$E$272/274</f>
        <v>-0.316936615223779</v>
      </c>
      <c r="I7" s="0" t="n">
        <f aca="false">_xlfn.NORM.DIST(H7,$E$271,$E$272,0)</f>
        <v>0.0213115395864576</v>
      </c>
      <c r="J7" s="0" t="n">
        <f aca="false">_xlfn.NORM.DIST(H7,$E$271,$E$272,1)</f>
        <v>0.00192308066618905</v>
      </c>
    </row>
    <row r="8" customFormat="false" ht="12.8" hidden="false" customHeight="false" outlineLevel="0" collapsed="false">
      <c r="A8" s="0" t="n">
        <f aca="false">'Исходные данные'!A8</f>
        <v>0.530825</v>
      </c>
      <c r="B8" s="0" t="n">
        <f aca="false">'Исходные данные'!B8</f>
        <v>4.13771</v>
      </c>
      <c r="H8" s="0" t="n">
        <f aca="false">H7+6*$E$272/274</f>
        <v>-0.310649967822222</v>
      </c>
      <c r="I8" s="0" t="n">
        <f aca="false">_xlfn.NORM.DIST(H8,$E$271,$E$272,0)</f>
        <v>0.0226986350740971</v>
      </c>
      <c r="J8" s="0" t="n">
        <f aca="false">_xlfn.NORM.DIST(H8,$E$271,$E$272,1)</f>
        <v>0.00206137859845859</v>
      </c>
    </row>
    <row r="9" customFormat="false" ht="12.8" hidden="false" customHeight="false" outlineLevel="0" collapsed="false">
      <c r="A9" s="0" t="n">
        <f aca="false">'Исходные данные'!A9</f>
        <v>0.624686</v>
      </c>
      <c r="B9" s="0" t="n">
        <f aca="false">'Исходные данные'!B9</f>
        <v>4.76239</v>
      </c>
      <c r="H9" s="0" t="n">
        <f aca="false">H8+6*$E$272/274</f>
        <v>-0.304363320420664</v>
      </c>
      <c r="I9" s="0" t="n">
        <f aca="false">_xlfn.NORM.DIST(H9,$E$271,$E$272,0)</f>
        <v>0.0241644219207779</v>
      </c>
      <c r="J9" s="0" t="n">
        <f aca="false">_xlfn.NORM.DIST(H9,$E$271,$E$272,1)</f>
        <v>0.00220864219043358</v>
      </c>
    </row>
    <row r="10" customFormat="false" ht="12.8" hidden="false" customHeight="false" outlineLevel="0" collapsed="false">
      <c r="A10" s="0" t="n">
        <f aca="false">'Исходные данные'!A10</f>
        <v>0.134262</v>
      </c>
      <c r="B10" s="0" t="n">
        <f aca="false">'Исходные данные'!B10</f>
        <v>4.89665</v>
      </c>
      <c r="H10" s="0" t="n">
        <f aca="false">H9+6*$E$272/274</f>
        <v>-0.298076673019107</v>
      </c>
      <c r="I10" s="0" t="n">
        <f aca="false">_xlfn.NORM.DIST(H10,$E$271,$E$272,0)</f>
        <v>0.0257125309276957</v>
      </c>
      <c r="J10" s="0" t="n">
        <f aca="false">_xlfn.NORM.DIST(H10,$E$271,$E$272,1)</f>
        <v>0.00236537750136678</v>
      </c>
    </row>
    <row r="11" customFormat="false" ht="12.8" hidden="false" customHeight="false" outlineLevel="0" collapsed="false">
      <c r="A11" s="0" t="n">
        <f aca="false">'Исходные данные'!A11</f>
        <v>0.311794</v>
      </c>
      <c r="B11" s="0" t="n">
        <f aca="false">'Исходные данные'!B11</f>
        <v>5.20845</v>
      </c>
      <c r="H11" s="0" t="n">
        <f aca="false">H10+6*$E$272/274</f>
        <v>-0.291790025617549</v>
      </c>
      <c r="I11" s="0" t="n">
        <f aca="false">_xlfn.NORM.DIST(H11,$E$271,$E$272,0)</f>
        <v>0.0273467042448733</v>
      </c>
      <c r="J11" s="0" t="n">
        <f aca="false">_xlfn.NORM.DIST(H11,$E$271,$E$272,1)</f>
        <v>0.00253211376615107</v>
      </c>
    </row>
    <row r="12" customFormat="false" ht="12.8" hidden="false" customHeight="false" outlineLevel="0" collapsed="false">
      <c r="A12" s="0" t="n">
        <f aca="false">'Исходные данные'!A12</f>
        <v>0.533984</v>
      </c>
      <c r="B12" s="0" t="n">
        <f aca="false">'Исходные данные'!B12</f>
        <v>5.74243</v>
      </c>
      <c r="H12" s="0" t="n">
        <f aca="false">H11+6*$E$272/274</f>
        <v>-0.285503378215992</v>
      </c>
      <c r="I12" s="0" t="n">
        <f aca="false">_xlfn.NORM.DIST(H12,$E$271,$E$272,0)</f>
        <v>0.0290707951011215</v>
      </c>
      <c r="J12" s="0" t="n">
        <f aca="false">_xlfn.NORM.DIST(H12,$E$271,$E$272,1)</f>
        <v>0.00270940409462994</v>
      </c>
    </row>
    <row r="13" customFormat="false" ht="12.8" hidden="false" customHeight="false" outlineLevel="0" collapsed="false">
      <c r="A13" s="0" t="n">
        <f aca="false">'Исходные данные'!A13</f>
        <v>0.440809</v>
      </c>
      <c r="B13" s="0" t="n">
        <f aca="false">'Исходные данные'!B13</f>
        <v>6.18324</v>
      </c>
      <c r="H13" s="0" t="n">
        <f aca="false">H12+6*$E$272/274</f>
        <v>-0.279216730814434</v>
      </c>
      <c r="I13" s="0" t="n">
        <f aca="false">_xlfn.NORM.DIST(H13,$E$271,$E$272,0)</f>
        <v>0.0308887672421657</v>
      </c>
      <c r="J13" s="0" t="n">
        <f aca="false">_xlfn.NORM.DIST(H13,$E$271,$E$272,1)</f>
        <v>0.00289782616830179</v>
      </c>
    </row>
    <row r="14" customFormat="false" ht="12.8" hidden="false" customHeight="false" outlineLevel="0" collapsed="false">
      <c r="A14" s="0" t="n">
        <f aca="false">'Исходные данные'!A14</f>
        <v>0.063503</v>
      </c>
      <c r="B14" s="0" t="n">
        <f aca="false">'Исходные данные'!B14</f>
        <v>6.24674</v>
      </c>
      <c r="H14" s="0" t="n">
        <f aca="false">H13+6*$E$272/274</f>
        <v>-0.272930083412877</v>
      </c>
      <c r="I14" s="0" t="n">
        <f aca="false">_xlfn.NORM.DIST(H14,$E$271,$E$272,0)</f>
        <v>0.0328046940600625</v>
      </c>
      <c r="J14" s="0" t="n">
        <f aca="false">_xlfn.NORM.DIST(H14,$E$271,$E$272,1)</f>
        <v>0.00309798293253045</v>
      </c>
    </row>
    <row r="15" customFormat="false" ht="12.8" hidden="false" customHeight="false" outlineLevel="0" collapsed="false">
      <c r="A15" s="0" t="n">
        <f aca="false">'Исходные данные'!A15</f>
        <v>0.872792</v>
      </c>
      <c r="B15" s="0" t="n">
        <f aca="false">'Исходные данные'!B15</f>
        <v>7.11953</v>
      </c>
      <c r="H15" s="0" t="n">
        <f aca="false">H14+6*$E$272/274</f>
        <v>-0.266643436011319</v>
      </c>
      <c r="I15" s="0" t="n">
        <f aca="false">_xlfn.NORM.DIST(H15,$E$271,$E$272,0)</f>
        <v>0.0348227573970295</v>
      </c>
      <c r="J15" s="0" t="n">
        <f aca="false">_xlfn.NORM.DIST(H15,$E$271,$E$272,1)</f>
        <v>0.00331050328226808</v>
      </c>
    </row>
    <row r="16" customFormat="false" ht="12.8" hidden="false" customHeight="false" outlineLevel="0" collapsed="false">
      <c r="A16" s="0" t="n">
        <f aca="false">'Исходные данные'!A16</f>
        <v>0.224759</v>
      </c>
      <c r="B16" s="0" t="n">
        <f aca="false">'Исходные данные'!B16</f>
        <v>7.34429</v>
      </c>
      <c r="H16" s="0" t="n">
        <f aca="false">H15+6*$E$272/274</f>
        <v>-0.260356788609761</v>
      </c>
      <c r="I16" s="0" t="n">
        <f aca="false">_xlfn.NORM.DIST(H16,$E$271,$E$272,0)</f>
        <v>0.0369472460068773</v>
      </c>
      <c r="J16" s="0" t="n">
        <f aca="false">_xlfn.NORM.DIST(H16,$E$271,$E$272,1)</f>
        <v>0.00353604273919055</v>
      </c>
    </row>
    <row r="17" customFormat="false" ht="12.8" hidden="false" customHeight="false" outlineLevel="0" collapsed="false">
      <c r="A17" s="0" t="n">
        <f aca="false">'Исходные данные'!A17</f>
        <v>0.202601</v>
      </c>
      <c r="B17" s="0" t="n">
        <f aca="false">'Исходные данные'!B17</f>
        <v>7.54689</v>
      </c>
      <c r="H17" s="0" t="n">
        <f aca="false">H16+6*$E$272/274</f>
        <v>-0.254070141208204</v>
      </c>
      <c r="I17" s="0" t="n">
        <f aca="false">_xlfn.NORM.DIST(H17,$E$271,$E$272,0)</f>
        <v>0.0391825536573732</v>
      </c>
      <c r="J17" s="0" t="n">
        <f aca="false">_xlfn.NORM.DIST(H17,$E$271,$E$272,1)</f>
        <v>0.00377528411804054</v>
      </c>
    </row>
    <row r="18" customFormat="false" ht="12.8" hidden="false" customHeight="false" outlineLevel="0" collapsed="false">
      <c r="A18" s="0" t="n">
        <f aca="false">'Исходные данные'!A18</f>
        <v>0.700437</v>
      </c>
      <c r="B18" s="0" t="n">
        <f aca="false">'Исходные данные'!B18</f>
        <v>8.24733</v>
      </c>
      <c r="H18" s="0" t="n">
        <f aca="false">H17+6*$E$272/274</f>
        <v>-0.247783493806646</v>
      </c>
      <c r="I18" s="0" t="n">
        <f aca="false">_xlfn.NORM.DIST(H18,$E$271,$E$272,0)</f>
        <v>0.0415331768570747</v>
      </c>
      <c r="J18" s="0" t="n">
        <f aca="false">_xlfn.NORM.DIST(H18,$E$271,$E$272,1)</f>
        <v>0.00402893817986898</v>
      </c>
    </row>
    <row r="19" customFormat="false" ht="12.8" hidden="false" customHeight="false" outlineLevel="0" collapsed="false">
      <c r="A19" s="0" t="n">
        <f aca="false">'Исходные данные'!A19</f>
        <v>0.488813</v>
      </c>
      <c r="B19" s="0" t="n">
        <f aca="false">'Исходные данные'!B19</f>
        <v>8.73615</v>
      </c>
      <c r="H19" s="0" t="n">
        <f aca="false">H18+6*$E$272/274</f>
        <v>-0.241496846405089</v>
      </c>
      <c r="I19" s="0" t="n">
        <f aca="false">_xlfn.NORM.DIST(H19,$E$271,$E$272,0)</f>
        <v>0.0440037121904625</v>
      </c>
      <c r="J19" s="0" t="n">
        <f aca="false">_xlfn.NORM.DIST(H19,$E$271,$E$272,1)</f>
        <v>0.00429774426976296</v>
      </c>
    </row>
    <row r="20" customFormat="false" ht="12.8" hidden="false" customHeight="false" outlineLevel="0" collapsed="false">
      <c r="A20" s="0" t="n">
        <f aca="false">'Исходные данные'!A20</f>
        <v>0.198562</v>
      </c>
      <c r="B20" s="0" t="n">
        <f aca="false">'Исходные данные'!B20</f>
        <v>8.93471</v>
      </c>
      <c r="H20" s="0" t="n">
        <f aca="false">H19+6*$E$272/274</f>
        <v>-0.235210199003531</v>
      </c>
      <c r="I20" s="0" t="n">
        <f aca="false">_xlfn.NORM.DIST(H20,$E$271,$E$272,0)</f>
        <v>0.0465988532455733</v>
      </c>
      <c r="J20" s="0" t="n">
        <f aca="false">_xlfn.NORM.DIST(H20,$E$271,$E$272,1)</f>
        <v>0.00458247093654797</v>
      </c>
    </row>
    <row r="21" customFormat="false" ht="12.8" hidden="false" customHeight="false" outlineLevel="0" collapsed="false">
      <c r="A21" s="0" t="n">
        <f aca="false">'Исходные данные'!A21</f>
        <v>0.709845</v>
      </c>
      <c r="B21" s="0" t="n">
        <f aca="false">'Исходные данные'!B21</f>
        <v>9.64455</v>
      </c>
      <c r="H21" s="0" t="n">
        <f aca="false">H20+6*$E$272/274</f>
        <v>-0.228923551601974</v>
      </c>
      <c r="I21" s="0" t="n">
        <f aca="false">_xlfn.NORM.DIST(H21,$E$271,$E$272,0)</f>
        <v>0.049323387118789</v>
      </c>
      <c r="J21" s="0" t="n">
        <f aca="false">_xlfn.NORM.DIST(H21,$E$271,$E$272,1)</f>
        <v>0.00488391653185382</v>
      </c>
    </row>
    <row r="22" customFormat="false" ht="12.8" hidden="false" customHeight="false" outlineLevel="0" collapsed="false">
      <c r="A22" s="0" t="n">
        <f aca="false">'Исходные данные'!A22</f>
        <v>0.817932</v>
      </c>
      <c r="B22" s="0" t="n">
        <f aca="false">'Исходные данные'!B22</f>
        <v>10.4625</v>
      </c>
      <c r="H22" s="0" t="n">
        <f aca="false">H21+6*$E$272/274</f>
        <v>-0.222636904200416</v>
      </c>
      <c r="I22" s="0" t="n">
        <f aca="false">_xlfn.NORM.DIST(H22,$E$271,$E$272,0)</f>
        <v>0.0521821904819834</v>
      </c>
      <c r="J22" s="0" t="n">
        <f aca="false">_xlfn.NORM.DIST(H22,$E$271,$E$272,1)</f>
        <v>0.00520290978583951</v>
      </c>
    </row>
    <row r="23" customFormat="false" ht="12.8" hidden="false" customHeight="false" outlineLevel="0" collapsed="false">
      <c r="A23" s="0" t="n">
        <f aca="false">'Исходные данные'!A23</f>
        <v>0.0212862</v>
      </c>
      <c r="B23" s="0" t="n">
        <f aca="false">'Исходные данные'!B23</f>
        <v>10.4838</v>
      </c>
      <c r="H23" s="0" t="n">
        <f aca="false">H22+6*$E$272/274</f>
        <v>-0.216350256798859</v>
      </c>
      <c r="I23" s="0" t="n">
        <f aca="false">_xlfn.NORM.DIST(H23,$E$271,$E$272,0)</f>
        <v>0.0551802251978626</v>
      </c>
      <c r="J23" s="0" t="n">
        <f aca="false">_xlfn.NORM.DIST(H23,$E$271,$E$272,1)</f>
        <v>0.00554031035678069</v>
      </c>
    </row>
    <row r="24" customFormat="false" ht="12.8" hidden="false" customHeight="false" outlineLevel="0" collapsed="false">
      <c r="A24" s="0" t="n">
        <f aca="false">'Исходные данные'!A24</f>
        <v>0.944932</v>
      </c>
      <c r="B24" s="0" t="n">
        <f aca="false">'Исходные данные'!B24</f>
        <v>11.4287</v>
      </c>
      <c r="H24" s="0" t="n">
        <f aca="false">H23+6*$E$272/274</f>
        <v>-0.210063609397301</v>
      </c>
      <c r="I24" s="0" t="n">
        <f aca="false">_xlfn.NORM.DIST(H24,$E$271,$E$272,0)</f>
        <v>0.0583225334700608</v>
      </c>
      <c r="J24" s="0" t="n">
        <f aca="false">_xlfn.NORM.DIST(H24,$E$271,$E$272,1)</f>
        <v>0.00589700935163663</v>
      </c>
    </row>
    <row r="25" customFormat="false" ht="12.8" hidden="false" customHeight="false" outlineLevel="0" collapsed="false">
      <c r="A25" s="0" t="n">
        <f aca="false">'Исходные данные'!A25</f>
        <v>0.371683</v>
      </c>
      <c r="B25" s="0" t="n">
        <f aca="false">'Исходные данные'!B25</f>
        <v>11.8004</v>
      </c>
      <c r="H25" s="0" t="n">
        <f aca="false">H24+6*$E$272/274</f>
        <v>-0.203776961995744</v>
      </c>
      <c r="I25" s="0" t="n">
        <f aca="false">_xlfn.NORM.DIST(H25,$E$271,$E$272,0)</f>
        <v>0.061614232515382</v>
      </c>
      <c r="J25" s="0" t="n">
        <f aca="false">_xlfn.NORM.DIST(H25,$E$271,$E$272,1)</f>
        <v>0.00627392981463194</v>
      </c>
    </row>
    <row r="26" customFormat="false" ht="12.8" hidden="false" customHeight="false" outlineLevel="0" collapsed="false">
      <c r="A26" s="0" t="n">
        <f aca="false">'Исходные данные'!A26</f>
        <v>0.878309</v>
      </c>
      <c r="B26" s="0" t="n">
        <f aca="false">'Исходные данные'!B26</f>
        <v>12.6787</v>
      </c>
      <c r="H26" s="0" t="n">
        <f aca="false">H25+6*$E$272/274</f>
        <v>-0.197490314594186</v>
      </c>
      <c r="I26" s="0" t="n">
        <f aca="false">_xlfn.NORM.DIST(H26,$E$271,$E$272,0)</f>
        <v>0.0650605087464943</v>
      </c>
      <c r="J26" s="0" t="n">
        <f aca="false">_xlfn.NORM.DIST(H26,$E$271,$E$272,1)</f>
        <v>0.00667202718081161</v>
      </c>
    </row>
    <row r="27" customFormat="false" ht="12.8" hidden="false" customHeight="false" outlineLevel="0" collapsed="false">
      <c r="A27" s="0" t="n">
        <f aca="false">'Исходные данные'!A27</f>
        <v>0.602046</v>
      </c>
      <c r="B27" s="0" t="n">
        <f aca="false">'Исходные данные'!B27</f>
        <v>13.2807</v>
      </c>
      <c r="H27" s="0" t="n">
        <f aca="false">H26+6*$E$272/274</f>
        <v>-0.191203667192628</v>
      </c>
      <c r="I27" s="0" t="n">
        <f aca="false">_xlfn.NORM.DIST(H27,$E$271,$E$272,0)</f>
        <v>0.0686666114544062</v>
      </c>
      <c r="J27" s="0" t="n">
        <f aca="false">_xlfn.NORM.DIST(H27,$E$271,$E$272,1)</f>
        <v>0.00709228969145771</v>
      </c>
    </row>
    <row r="28" customFormat="false" ht="12.8" hidden="false" customHeight="false" outlineLevel="0" collapsed="false">
      <c r="A28" s="0" t="n">
        <f aca="false">'Исходные данные'!A28</f>
        <v>0.820565</v>
      </c>
      <c r="B28" s="0" t="n">
        <f aca="false">'Исходные данные'!B28</f>
        <v>14.1013</v>
      </c>
      <c r="H28" s="0" t="n">
        <f aca="false">H27+6*$E$272/274</f>
        <v>-0.184917019791071</v>
      </c>
      <c r="I28" s="0" t="n">
        <f aca="false">_xlfn.NORM.DIST(H28,$E$271,$E$272,0)</f>
        <v>0.0724378459811755</v>
      </c>
      <c r="J28" s="0" t="n">
        <f aca="false">_xlfn.NORM.DIST(H28,$E$271,$E$272,1)</f>
        <v>0.00753573876819226</v>
      </c>
    </row>
    <row r="29" customFormat="false" ht="12.8" hidden="false" customHeight="false" outlineLevel="0" collapsed="false">
      <c r="A29" s="0" t="n">
        <f aca="false">'Исходные данные'!A29</f>
        <v>0.101819</v>
      </c>
      <c r="B29" s="0" t="n">
        <f aca="false">'Исходные данные'!B29</f>
        <v>14.2031</v>
      </c>
      <c r="H29" s="0" t="n">
        <f aca="false">H28+6*$E$272/274</f>
        <v>-0.178630372389513</v>
      </c>
      <c r="I29" s="0" t="n">
        <f aca="false">_xlfn.NORM.DIST(H29,$E$271,$E$272,0)</f>
        <v>0.0763795663745188</v>
      </c>
      <c r="J29" s="0" t="n">
        <f aca="false">_xlfn.NORM.DIST(H29,$E$271,$E$272,1)</f>
        <v>0.00800342934253489</v>
      </c>
    </row>
    <row r="30" customFormat="false" ht="12.8" hidden="false" customHeight="false" outlineLevel="0" collapsed="false">
      <c r="A30" s="0" t="n">
        <f aca="false">'Исходные данные'!A30</f>
        <v>0.820174</v>
      </c>
      <c r="B30" s="0" t="n">
        <f aca="false">'Исходные данные'!B30</f>
        <v>15.0233</v>
      </c>
      <c r="H30" s="0" t="n">
        <f aca="false">H29+6*$E$272/274</f>
        <v>-0.172343724987956</v>
      </c>
      <c r="I30" s="0" t="n">
        <f aca="false">_xlfn.NORM.DIST(H30,$E$271,$E$272,0)</f>
        <v>0.0804971675173173</v>
      </c>
      <c r="J30" s="0" t="n">
        <f aca="false">_xlfn.NORM.DIST(H30,$E$271,$E$272,1)</f>
        <v>0.00849645013763535</v>
      </c>
    </row>
    <row r="31" customFormat="false" ht="12.8" hidden="false" customHeight="false" outlineLevel="0" collapsed="false">
      <c r="A31" s="0" t="n">
        <f aca="false">'Исходные данные'!A31</f>
        <v>0.286249</v>
      </c>
      <c r="B31" s="0" t="n">
        <f aca="false">'Исходные данные'!B31</f>
        <v>15.3095</v>
      </c>
      <c r="H31" s="0" t="n">
        <f aca="false">H30+6*$E$272/274</f>
        <v>-0.166057077586398</v>
      </c>
      <c r="I31" s="0" t="n">
        <f aca="false">_xlfn.NORM.DIST(H31,$E$271,$E$272,0)</f>
        <v>0.0847960767264322</v>
      </c>
      <c r="J31" s="0" t="n">
        <f aca="false">_xlfn.NORM.DIST(H31,$E$271,$E$272,1)</f>
        <v>0.00901592389886134</v>
      </c>
    </row>
    <row r="32" customFormat="false" ht="12.8" hidden="false" customHeight="false" outlineLevel="0" collapsed="false">
      <c r="A32" s="0" t="n">
        <f aca="false">'Исходные данные'!A32</f>
        <v>0.993986</v>
      </c>
      <c r="B32" s="0" t="n">
        <f aca="false">'Исходные данные'!B32</f>
        <v>16.3035</v>
      </c>
      <c r="H32" s="0" t="n">
        <f aca="false">H31+6*$E$272/274</f>
        <v>-0.159770430184841</v>
      </c>
      <c r="I32" s="0" t="n">
        <f aca="false">_xlfn.NORM.DIST(H32,$E$271,$E$272,0)</f>
        <v>0.0892817448167721</v>
      </c>
      <c r="J32" s="0" t="n">
        <f aca="false">_xlfn.NORM.DIST(H32,$E$271,$E$272,1)</f>
        <v>0.009563007569892</v>
      </c>
    </row>
    <row r="33" customFormat="false" ht="12.8" hidden="false" customHeight="false" outlineLevel="0" collapsed="false">
      <c r="A33" s="0" t="n">
        <f aca="false">'Исходные данные'!A33</f>
        <v>0.20081</v>
      </c>
      <c r="B33" s="0" t="n">
        <f aca="false">'Исходные данные'!B33</f>
        <v>16.5043</v>
      </c>
      <c r="H33" s="0" t="n">
        <f aca="false">H32+6*$E$272/274</f>
        <v>-0.153483782783283</v>
      </c>
      <c r="I33" s="0" t="n">
        <f aca="false">_xlfn.NORM.DIST(H33,$E$271,$E$272,0)</f>
        <v>0.0939596366281691</v>
      </c>
      <c r="J33" s="0" t="n">
        <f aca="false">_xlfn.NORM.DIST(H33,$E$271,$E$272,1)</f>
        <v>0.0101388924109464</v>
      </c>
    </row>
    <row r="34" customFormat="false" ht="12.8" hidden="false" customHeight="false" outlineLevel="0" collapsed="false">
      <c r="A34" s="0" t="n">
        <f aca="false">'Исходные данные'!A34</f>
        <v>0.722026</v>
      </c>
      <c r="B34" s="0" t="n">
        <f aca="false">'Исходные данные'!B34</f>
        <v>17.2264</v>
      </c>
      <c r="H34" s="0" t="n">
        <f aca="false">H33+6*$E$272/274</f>
        <v>-0.147197135381726</v>
      </c>
      <c r="I34" s="0" t="n">
        <f aca="false">_xlfn.NORM.DIST(H34,$E$271,$E$272,0)</f>
        <v>0.0988352210143493</v>
      </c>
      <c r="J34" s="0" t="n">
        <f aca="false">_xlfn.NORM.DIST(H34,$E$271,$E$272,1)</f>
        <v>0.0107448040557674</v>
      </c>
    </row>
    <row r="35" customFormat="false" ht="12.8" hidden="false" customHeight="false" outlineLevel="0" collapsed="false">
      <c r="A35" s="0" t="n">
        <f aca="false">'Исходные данные'!A35</f>
        <v>0.553061</v>
      </c>
      <c r="B35" s="0" t="n">
        <f aca="false">'Исходные данные'!B35</f>
        <v>17.7794</v>
      </c>
      <c r="H35" s="0" t="n">
        <f aca="false">H34+6*$E$272/274</f>
        <v>-0.140910487980168</v>
      </c>
      <c r="I35" s="0" t="n">
        <f aca="false">_xlfn.NORM.DIST(H35,$E$271,$E$272,0)</f>
        <v>0.103913960295089</v>
      </c>
      <c r="J35" s="0" t="n">
        <f aca="false">_xlfn.NORM.DIST(H35,$E$271,$E$272,1)</f>
        <v>0.0113820025039803</v>
      </c>
    </row>
    <row r="36" customFormat="false" ht="12.8" hidden="false" customHeight="false" outlineLevel="0" collapsed="false">
      <c r="A36" s="0" t="n">
        <f aca="false">'Исходные данные'!A36</f>
        <v>0.423688</v>
      </c>
      <c r="B36" s="0" t="n">
        <f aca="false">'Исходные данные'!B36</f>
        <v>18.2031</v>
      </c>
      <c r="H36" s="0" t="n">
        <f aca="false">H35+6*$E$272/274</f>
        <v>-0.134623840578611</v>
      </c>
      <c r="I36" s="0" t="n">
        <f aca="false">_xlfn.NORM.DIST(H36,$E$271,$E$272,0)</f>
        <v>0.109201299174556</v>
      </c>
      <c r="J36" s="0" t="n">
        <f aca="false">_xlfn.NORM.DIST(H36,$E$271,$E$272,1)</f>
        <v>0.0120517820454623</v>
      </c>
    </row>
    <row r="37" customFormat="false" ht="12.8" hidden="false" customHeight="false" outlineLevel="0" collapsed="false">
      <c r="A37" s="0" t="n">
        <f aca="false">'Исходные данные'!A37</f>
        <v>0.935531</v>
      </c>
      <c r="B37" s="0" t="n">
        <f aca="false">'Исходные данные'!B37</f>
        <v>19.1386</v>
      </c>
      <c r="H37" s="0" t="n">
        <f aca="false">H36+6*$E$272/274</f>
        <v>-0.128337193177053</v>
      </c>
      <c r="I37" s="0" t="n">
        <f aca="false">_xlfn.NORM.DIST(H37,$E$271,$E$272,0)</f>
        <v>0.11470265313083</v>
      </c>
      <c r="J37" s="0" t="n">
        <f aca="false">_xlfn.NORM.DIST(H37,$E$271,$E$272,1)</f>
        <v>0.0127554711133787</v>
      </c>
    </row>
    <row r="38" customFormat="false" ht="12.8" hidden="false" customHeight="false" outlineLevel="0" collapsed="false">
      <c r="A38" s="0" t="n">
        <f aca="false">'Исходные данные'!A38</f>
        <v>0.722042</v>
      </c>
      <c r="B38" s="0" t="n">
        <f aca="false">'Исходные данные'!B38</f>
        <v>19.8607</v>
      </c>
      <c r="H38" s="0" t="n">
        <f aca="false">H37+6*$E$272/274</f>
        <v>-0.122050545775495</v>
      </c>
      <c r="I38" s="0" t="n">
        <f aca="false">_xlfn.NORM.DIST(H38,$E$271,$E$272,0)</f>
        <v>0.120423396283673</v>
      </c>
      <c r="J38" s="0" t="n">
        <f aca="false">_xlfn.NORM.DIST(H38,$E$271,$E$272,1)</f>
        <v>0.0134944320625845</v>
      </c>
    </row>
    <row r="39" customFormat="false" ht="12.8" hidden="false" customHeight="false" outlineLevel="0" collapsed="false">
      <c r="A39" s="0" t="n">
        <f aca="false">'Исходные данные'!A39</f>
        <v>0.917558</v>
      </c>
      <c r="B39" s="0" t="n">
        <f aca="false">'Исходные данные'!B39</f>
        <v>20.7782</v>
      </c>
      <c r="H39" s="0" t="n">
        <f aca="false">H38+6*$E$272/274</f>
        <v>-0.115763898373938</v>
      </c>
      <c r="I39" s="0" t="n">
        <f aca="false">_xlfn.NORM.DIST(H39,$E$271,$E$272,0)</f>
        <v>0.126368848749774</v>
      </c>
      <c r="J39" s="0" t="n">
        <f aca="false">_xlfn.NORM.DIST(H39,$E$271,$E$272,1)</f>
        <v>0.0142700608701388</v>
      </c>
    </row>
    <row r="40" customFormat="false" ht="12.8" hidden="false" customHeight="false" outlineLevel="0" collapsed="false">
      <c r="A40" s="0" t="n">
        <f aca="false">'Исходные данные'!A40</f>
        <v>0.623181</v>
      </c>
      <c r="B40" s="0" t="n">
        <f aca="false">'Исходные данные'!B40</f>
        <v>21.4014</v>
      </c>
      <c r="H40" s="0" t="n">
        <f aca="false">H39+6*$E$272/274</f>
        <v>-0.10947725097238</v>
      </c>
      <c r="I40" s="0" t="n">
        <f aca="false">_xlfn.NORM.DIST(H40,$E$271,$E$272,0)</f>
        <v>0.132544263496926</v>
      </c>
      <c r="J40" s="0" t="n">
        <f aca="false">_xlfn.NORM.DIST(H40,$E$271,$E$272,1)</f>
        <v>0.0150837867547434</v>
      </c>
    </row>
    <row r="41" customFormat="false" ht="12.8" hidden="false" customHeight="false" outlineLevel="0" collapsed="false">
      <c r="A41" s="0" t="n">
        <f aca="false">'Исходные данные'!A41</f>
        <v>0.854547</v>
      </c>
      <c r="B41" s="0" t="n">
        <f aca="false">'Исходные данные'!B41</f>
        <v>22.256</v>
      </c>
      <c r="H41" s="0" t="n">
        <f aca="false">H40+6*$E$272/274</f>
        <v>-0.103190603570823</v>
      </c>
      <c r="I41" s="0" t="n">
        <f aca="false">_xlfn.NORM.DIST(H41,$E$271,$E$272,0)</f>
        <v>0.138954812710883</v>
      </c>
      <c r="J41" s="0" t="n">
        <f aca="false">_xlfn.NORM.DIST(H41,$E$271,$E$272,1)</f>
        <v>0.0159370717119999</v>
      </c>
    </row>
    <row r="42" customFormat="false" ht="12.8" hidden="false" customHeight="false" outlineLevel="0" collapsed="false">
      <c r="A42" s="0" t="n">
        <f aca="false">'Исходные данные'!A42</f>
        <v>0.183041</v>
      </c>
      <c r="B42" s="0" t="n">
        <f aca="false">'Исходные данные'!B42</f>
        <v>22.439</v>
      </c>
      <c r="H42" s="0" t="n">
        <f aca="false">H41+6*$E$272/274</f>
        <v>-0.0969039561692652</v>
      </c>
      <c r="I42" s="0" t="n">
        <f aca="false">_xlfn.NORM.DIST(H42,$E$271,$E$272,0)</f>
        <v>0.145605573691012</v>
      </c>
      <c r="J42" s="0" t="n">
        <f aca="false">_xlfn.NORM.DIST(H42,$E$271,$E$272,1)</f>
        <v>0.0168314099624688</v>
      </c>
    </row>
    <row r="43" customFormat="false" ht="12.8" hidden="false" customHeight="false" outlineLevel="0" collapsed="false">
      <c r="A43" s="0" t="n">
        <f aca="false">'Исходные данные'!A43</f>
        <v>0.688096</v>
      </c>
      <c r="B43" s="0" t="n">
        <f aca="false">'Исходные данные'!B43</f>
        <v>23.1271</v>
      </c>
      <c r="H43" s="0" t="n">
        <f aca="false">H42+6*$E$272/274</f>
        <v>-0.0906173087677077</v>
      </c>
      <c r="I43" s="0" t="n">
        <f aca="false">_xlfn.NORM.DIST(H43,$E$271,$E$272,0)</f>
        <v>0.152501514293261</v>
      </c>
      <c r="J43" s="0" t="n">
        <f aca="false">_xlfn.NORM.DIST(H43,$E$271,$E$272,1)</f>
        <v>0.0177683273096269</v>
      </c>
    </row>
    <row r="44" customFormat="false" ht="12.8" hidden="false" customHeight="false" outlineLevel="0" collapsed="false">
      <c r="A44" s="0" t="n">
        <f aca="false">'Исходные данные'!A44</f>
        <v>0.0572111</v>
      </c>
      <c r="B44" s="0" t="n">
        <f aca="false">'Исходные данные'!B44</f>
        <v>23.1843</v>
      </c>
      <c r="H44" s="0" t="n">
        <f aca="false">H43+6*$E$272/274</f>
        <v>-0.0843306613661501</v>
      </c>
      <c r="I44" s="0" t="n">
        <f aca="false">_xlfn.NORM.DIST(H44,$E$271,$E$272,0)</f>
        <v>0.159647477941407</v>
      </c>
      <c r="J44" s="0" t="n">
        <f aca="false">_xlfn.NORM.DIST(H44,$E$271,$E$272,1)</f>
        <v>0.0187493804049408</v>
      </c>
    </row>
    <row r="45" customFormat="false" ht="12.8" hidden="false" customHeight="false" outlineLevel="0" collapsed="false">
      <c r="A45" s="0" t="n">
        <f aca="false">'Исходные данные'!A45</f>
        <v>0.775714</v>
      </c>
      <c r="B45" s="0" t="n">
        <f aca="false">'Исходные данные'!B45</f>
        <v>23.96</v>
      </c>
      <c r="H45" s="0" t="n">
        <f aca="false">H44+6*$E$272/274</f>
        <v>-0.0780440139645925</v>
      </c>
      <c r="I45" s="0" t="n">
        <f aca="false">_xlfn.NORM.DIST(H45,$E$271,$E$272,0)</f>
        <v>0.167048168230065</v>
      </c>
      <c r="J45" s="0" t="n">
        <f aca="false">_xlfn.NORM.DIST(H45,$E$271,$E$272,1)</f>
        <v>0.0197761559174154</v>
      </c>
    </row>
    <row r="46" customFormat="false" ht="12.8" hidden="false" customHeight="false" outlineLevel="0" collapsed="false">
      <c r="A46" s="0" t="n">
        <f aca="false">'Исходные данные'!A46</f>
        <v>0.701783</v>
      </c>
      <c r="B46" s="0" t="n">
        <f aca="false">'Исходные данные'!B46</f>
        <v>24.6618</v>
      </c>
      <c r="H46" s="0" t="n">
        <f aca="false">H45+6*$E$272/274</f>
        <v>-0.071757366563035</v>
      </c>
      <c r="I46" s="0" t="n">
        <f aca="false">_xlfn.NORM.DIST(H46,$E$271,$E$272,0)</f>
        <v>0.174708133145436</v>
      </c>
      <c r="J46" s="0" t="n">
        <f aca="false">_xlfn.NORM.DIST(H46,$E$271,$E$272,1)</f>
        <v>0.0208502696051309</v>
      </c>
    </row>
    <row r="47" customFormat="false" ht="12.8" hidden="false" customHeight="false" outlineLevel="0" collapsed="false">
      <c r="A47" s="0" t="n">
        <f aca="false">'Исходные данные'!A47</f>
        <v>0.159357</v>
      </c>
      <c r="B47" s="0" t="n">
        <f aca="false">'Исходные данные'!B47</f>
        <v>24.8212</v>
      </c>
      <c r="H47" s="0" t="n">
        <f aca="false">H46+6*$E$272/274</f>
        <v>-0.0654707191614774</v>
      </c>
      <c r="I47" s="0" t="n">
        <f aca="false">_xlfn.NORM.DIST(H47,$E$271,$E$272,0)</f>
        <v>0.182631748932312</v>
      </c>
      <c r="J47" s="0" t="n">
        <f aca="false">_xlfn.NORM.DIST(H47,$E$271,$E$272,1)</f>
        <v>0.0219733652864538</v>
      </c>
    </row>
    <row r="48" customFormat="false" ht="12.8" hidden="false" customHeight="false" outlineLevel="0" collapsed="false">
      <c r="A48" s="0" t="n">
        <f aca="false">'Исходные данные'!A48</f>
        <v>0.0995737</v>
      </c>
      <c r="B48" s="0" t="n">
        <f aca="false">'Исходные данные'!B48</f>
        <v>24.9208</v>
      </c>
      <c r="H48" s="0" t="n">
        <f aca="false">H47+6*$E$272/274</f>
        <v>-0.0591840717599199</v>
      </c>
      <c r="I48" s="0" t="n">
        <f aca="false">_xlfn.NORM.DIST(H48,$E$271,$E$272,0)</f>
        <v>0.190823203638416</v>
      </c>
      <c r="J48" s="0" t="n">
        <f aca="false">_xlfn.NORM.DIST(H48,$E$271,$E$272,1)</f>
        <v>0.023147113708794</v>
      </c>
    </row>
    <row r="49" customFormat="false" ht="12.8" hidden="false" customHeight="false" outlineLevel="0" collapsed="false">
      <c r="A49" s="0" t="n">
        <f aca="false">'Исходные данные'!A49</f>
        <v>0.560905</v>
      </c>
      <c r="B49" s="0" t="n">
        <f aca="false">'Исходные данные'!B49</f>
        <v>25.4817</v>
      </c>
      <c r="H49" s="0" t="n">
        <f aca="false">H48+6*$E$272/274</f>
        <v>-0.0528974243583623</v>
      </c>
      <c r="I49" s="0" t="n">
        <f aca="false">_xlfn.NORM.DIST(H49,$E$271,$E$272,0)</f>
        <v>0.19928648036967</v>
      </c>
      <c r="J49" s="0" t="n">
        <f aca="false">_xlfn.NORM.DIST(H49,$E$271,$E$272,1)</f>
        <v>0.0243732113129849</v>
      </c>
    </row>
    <row r="50" customFormat="false" ht="12.8" hidden="false" customHeight="false" outlineLevel="0" collapsed="false">
      <c r="A50" s="0" t="n">
        <f aca="false">'Исходные данные'!A50</f>
        <v>0.347255</v>
      </c>
      <c r="B50" s="0" t="n">
        <f aca="false">'Исходные данные'!B50</f>
        <v>25.8289</v>
      </c>
      <c r="H50" s="0" t="n">
        <f aca="false">H49+6*$E$272/274</f>
        <v>-0.0466107769568048</v>
      </c>
      <c r="I50" s="0" t="n">
        <f aca="false">_xlfn.NORM.DIST(H50,$E$271,$E$272,0)</f>
        <v>0.20802534029251</v>
      </c>
      <c r="J50" s="0" t="n">
        <f aca="false">_xlfn.NORM.DIST(H50,$E$271,$E$272,1)</f>
        <v>0.0256533788915792</v>
      </c>
    </row>
    <row r="51" customFormat="false" ht="12.8" hidden="false" customHeight="false" outlineLevel="0" collapsed="false">
      <c r="A51" s="0" t="n">
        <f aca="false">'Исходные данные'!A51</f>
        <v>0.539348</v>
      </c>
      <c r="B51" s="0" t="n">
        <f aca="false">'Исходные данные'!B51</f>
        <v>26.3683</v>
      </c>
      <c r="H51" s="0" t="n">
        <f aca="false">H50+6*$E$272/274</f>
        <v>-0.0403241295552472</v>
      </c>
      <c r="I51" s="0" t="n">
        <f aca="false">_xlfn.NORM.DIST(H51,$E$271,$E$272,0)</f>
        <v>0.217043305421904</v>
      </c>
      <c r="J51" s="0" t="n">
        <f aca="false">_xlfn.NORM.DIST(H51,$E$271,$E$272,1)</f>
        <v>0.0269893601395932</v>
      </c>
    </row>
    <row r="52" customFormat="false" ht="12.8" hidden="false" customHeight="false" outlineLevel="0" collapsed="false">
      <c r="A52" s="0" t="n">
        <f aca="false">'Исходные данные'!A52</f>
        <v>0.801053</v>
      </c>
      <c r="B52" s="0" t="n">
        <f aca="false">'Исходные данные'!B52</f>
        <v>27.1693</v>
      </c>
      <c r="H52" s="0" t="n">
        <f aca="false">H51+6*$E$272/274</f>
        <v>-0.0340374821536896</v>
      </c>
      <c r="I52" s="0" t="n">
        <f aca="false">_xlfn.NORM.DIST(H52,$E$271,$E$272,0)</f>
        <v>0.226343641236112</v>
      </c>
      <c r="J52" s="0" t="n">
        <f aca="false">_xlfn.NORM.DIST(H52,$E$271,$E$272,1)</f>
        <v>0.0283829200964776</v>
      </c>
    </row>
    <row r="53" customFormat="false" ht="12.8" hidden="false" customHeight="false" outlineLevel="0" collapsed="false">
      <c r="A53" s="0" t="n">
        <f aca="false">'Исходные данные'!A53</f>
        <v>0.861269</v>
      </c>
      <c r="B53" s="0" t="n">
        <f aca="false">'Исходные данные'!B53</f>
        <v>28.0306</v>
      </c>
      <c r="H53" s="0" t="n">
        <f aca="false">H52+6*$E$272/274</f>
        <v>-0.0277508347521321</v>
      </c>
      <c r="I53" s="0" t="n">
        <f aca="false">_xlfn.NORM.DIST(H53,$E$271,$E$272,0)</f>
        <v>0.23592933916171</v>
      </c>
      <c r="J53" s="0" t="n">
        <f aca="false">_xlfn.NORM.DIST(H53,$E$271,$E$272,1)</f>
        <v>0.0298358434783627</v>
      </c>
    </row>
    <row r="54" customFormat="false" ht="12.8" hidden="false" customHeight="false" outlineLevel="0" collapsed="false">
      <c r="A54" s="0" t="n">
        <f aca="false">'Исходные данные'!A54</f>
        <v>0.63994</v>
      </c>
      <c r="B54" s="0" t="n">
        <f aca="false">'Исходные данные'!B54</f>
        <v>28.6705</v>
      </c>
      <c r="H54" s="0" t="n">
        <f aca="false">H53+6*$E$272/274</f>
        <v>-0.0214641873505745</v>
      </c>
      <c r="I54" s="0" t="n">
        <f aca="false">_xlfn.NORM.DIST(H54,$E$271,$E$272,0)</f>
        <v>0.245803098974682</v>
      </c>
      <c r="J54" s="0" t="n">
        <f aca="false">_xlfn.NORM.DIST(H54,$E$271,$E$272,1)</f>
        <v>0.0313499328999047</v>
      </c>
    </row>
    <row r="55" customFormat="false" ht="12.8" hidden="false" customHeight="false" outlineLevel="0" collapsed="false">
      <c r="A55" s="0" t="n">
        <f aca="false">'Исходные данные'!A55</f>
        <v>0.81064</v>
      </c>
      <c r="B55" s="0" t="n">
        <f aca="false">'Исходные данные'!B55</f>
        <v>29.4812</v>
      </c>
      <c r="H55" s="0" t="n">
        <f aca="false">H54+6*$E$272/274</f>
        <v>-0.015177539949017</v>
      </c>
      <c r="I55" s="0" t="n">
        <f aca="false">_xlfn.NORM.DIST(H55,$E$271,$E$272,0)</f>
        <v>0.255967311165679</v>
      </c>
      <c r="J55" s="0" t="n">
        <f aca="false">_xlfn.NORM.DIST(H55,$E$271,$E$272,1)</f>
        <v>0.0329270069853553</v>
      </c>
    </row>
    <row r="56" customFormat="false" ht="12.8" hidden="false" customHeight="false" outlineLevel="0" collapsed="false">
      <c r="A56" s="0" t="n">
        <f aca="false">'Исходные данные'!A56</f>
        <v>0.38527</v>
      </c>
      <c r="B56" s="0" t="n">
        <f aca="false">'Исходные данные'!B56</f>
        <v>29.8664</v>
      </c>
      <c r="H56" s="0" t="n">
        <f aca="false">H55+6*$E$272/274</f>
        <v>-0.00889089254745941</v>
      </c>
      <c r="I56" s="0" t="n">
        <f aca="false">_xlfn.NORM.DIST(H56,$E$271,$E$272,0)</f>
        <v>0.266424039319694</v>
      </c>
      <c r="J56" s="0" t="n">
        <f aca="false">_xlfn.NORM.DIST(H56,$E$271,$E$272,1)</f>
        <v>0.0345688983687864</v>
      </c>
    </row>
    <row r="57" customFormat="false" ht="12.8" hidden="false" customHeight="false" outlineLevel="0" collapsed="false">
      <c r="A57" s="0" t="n">
        <f aca="false">'Исходные данные'!A57</f>
        <v>0.738261</v>
      </c>
      <c r="B57" s="0" t="n">
        <f aca="false">'Исходные данные'!B57</f>
        <v>30.6047</v>
      </c>
      <c r="H57" s="0" t="n">
        <f aca="false">H56+6*$E$272/274</f>
        <v>-0.00260424514590186</v>
      </c>
      <c r="I57" s="0" t="n">
        <f aca="false">_xlfn.NORM.DIST(H57,$E$271,$E$272,0)</f>
        <v>0.277175002562499</v>
      </c>
      <c r="J57" s="0" t="n">
        <f aca="false">_xlfn.NORM.DIST(H57,$E$271,$E$272,1)</f>
        <v>0.0362774515837242</v>
      </c>
    </row>
    <row r="58" customFormat="false" ht="12.8" hidden="false" customHeight="false" outlineLevel="0" collapsed="false">
      <c r="A58" s="0" t="n">
        <f aca="false">'Исходные данные'!A58</f>
        <v>0.321726</v>
      </c>
      <c r="B58" s="0" t="n">
        <f aca="false">'Исходные данные'!B58</f>
        <v>30.9264</v>
      </c>
      <c r="H58" s="0" t="n">
        <f aca="false">H57+6*$E$272/274</f>
        <v>0.0036824022556557</v>
      </c>
      <c r="I58" s="0" t="n">
        <f aca="false">_xlfn.NORM.DIST(H58,$E$271,$E$272,0)</f>
        <v>0.288221558128089</v>
      </c>
      <c r="J58" s="0" t="n">
        <f aca="false">_xlfn.NORM.DIST(H58,$E$271,$E$272,1)</f>
        <v>0.0380545208427809</v>
      </c>
    </row>
    <row r="59" customFormat="false" ht="12.8" hidden="false" customHeight="false" outlineLevel="0" collapsed="false">
      <c r="A59" s="0" t="n">
        <f aca="false">'Исходные данные'!A59</f>
        <v>0.754328</v>
      </c>
      <c r="B59" s="0" t="n">
        <f aca="false">'Исходные данные'!B59</f>
        <v>31.6807</v>
      </c>
      <c r="H59" s="0" t="n">
        <f aca="false">H58+6*$E$272/274</f>
        <v>0.00996904965721326</v>
      </c>
      <c r="I59" s="0" t="n">
        <f aca="false">_xlfn.NORM.DIST(H59,$E$271,$E$272,0)</f>
        <v>0.299564684103237</v>
      </c>
      <c r="J59" s="0" t="n">
        <f aca="false">_xlfn.NORM.DIST(H59,$E$271,$E$272,1)</f>
        <v>0.0399019677082221</v>
      </c>
    </row>
    <row r="60" customFormat="false" ht="12.8" hidden="false" customHeight="false" outlineLevel="0" collapsed="false">
      <c r="A60" s="0" t="n">
        <f aca="false">'Исходные данные'!A60</f>
        <v>0.989224</v>
      </c>
      <c r="B60" s="0" t="n">
        <f aca="false">'Исходные данные'!B60</f>
        <v>32.67</v>
      </c>
      <c r="H60" s="0" t="n">
        <f aca="false">H59+6*$E$272/274</f>
        <v>0.0162556970587708</v>
      </c>
      <c r="I60" s="0" t="n">
        <f aca="false">_xlfn.NORM.DIST(H60,$E$271,$E$272,0)</f>
        <v>0.311204962406928</v>
      </c>
      <c r="J60" s="0" t="n">
        <f aca="false">_xlfn.NORM.DIST(H60,$E$271,$E$272,1)</f>
        <v>0.041821658654762</v>
      </c>
    </row>
    <row r="61" customFormat="false" ht="12.8" hidden="false" customHeight="false" outlineLevel="0" collapsed="false">
      <c r="A61" s="0" t="n">
        <f aca="false">'Исходные данные'!A61</f>
        <v>0.801059</v>
      </c>
      <c r="B61" s="0" t="n">
        <f aca="false">'Исходные данные'!B61</f>
        <v>33.471</v>
      </c>
      <c r="H61" s="0" t="n">
        <f aca="false">H60+6*$E$272/274</f>
        <v>0.0225423444603284</v>
      </c>
      <c r="I61" s="0" t="n">
        <f aca="false">_xlfn.NORM.DIST(H61,$E$271,$E$272,0)</f>
        <v>0.323142562063917</v>
      </c>
      <c r="J61" s="0" t="n">
        <f aca="false">_xlfn.NORM.DIST(H61,$E$271,$E$272,1)</f>
        <v>0.0438154625262496</v>
      </c>
    </row>
    <row r="62" customFormat="false" ht="12.8" hidden="false" customHeight="false" outlineLevel="0" collapsed="false">
      <c r="A62" s="0" t="n">
        <f aca="false">'Исходные данные'!A62</f>
        <v>0.826419</v>
      </c>
      <c r="B62" s="0" t="n">
        <f aca="false">'Исходные данные'!B62</f>
        <v>34.2974</v>
      </c>
      <c r="H62" s="0" t="n">
        <f aca="false">H61+6*$E$272/274</f>
        <v>0.0288289918618859</v>
      </c>
      <c r="I62" s="0" t="n">
        <f aca="false">_xlfn.NORM.DIST(H62,$E$271,$E$272,0)</f>
        <v>0.335377222833048</v>
      </c>
      <c r="J62" s="0" t="n">
        <f aca="false">_xlfn.NORM.DIST(H62,$E$271,$E$272,1)</f>
        <v>0.0458852478882852</v>
      </c>
    </row>
    <row r="63" customFormat="false" ht="12.8" hidden="false" customHeight="false" outlineLevel="0" collapsed="false">
      <c r="A63" s="0" t="n">
        <f aca="false">'Исходные данные'!A63</f>
        <v>0.673352</v>
      </c>
      <c r="B63" s="0" t="n">
        <f aca="false">'Исходные данные'!B63</f>
        <v>34.9708</v>
      </c>
      <c r="H63" s="0" t="n">
        <f aca="false">H62+6*$E$272/274</f>
        <v>0.0351156392634435</v>
      </c>
      <c r="I63" s="0" t="n">
        <f aca="false">_xlfn.NORM.DIST(H63,$E$271,$E$272,0)</f>
        <v>0.347908239252089</v>
      </c>
      <c r="J63" s="0" t="n">
        <f aca="false">_xlfn.NORM.DIST(H63,$E$271,$E$272,1)</f>
        <v>0.0480328802791899</v>
      </c>
    </row>
    <row r="64" customFormat="false" ht="12.8" hidden="false" customHeight="false" outlineLevel="0" collapsed="false">
      <c r="A64" s="0" t="n">
        <f aca="false">'Исходные данные'!A64</f>
        <v>0.996031</v>
      </c>
      <c r="B64" s="0" t="n">
        <f aca="false">'Исходные данные'!B64</f>
        <v>35.9668</v>
      </c>
      <c r="H64" s="0" t="n">
        <f aca="false">H63+6*$E$272/274</f>
        <v>0.041402286665001</v>
      </c>
      <c r="I64" s="0" t="n">
        <f aca="false">_xlfn.NORM.DIST(H64,$E$271,$E$272,0)</f>
        <v>0.360734445161811</v>
      </c>
      <c r="J64" s="0" t="n">
        <f aca="false">_xlfn.NORM.DIST(H64,$E$271,$E$272,1)</f>
        <v>0.0502602193621445</v>
      </c>
    </row>
    <row r="65" customFormat="false" ht="12.8" hidden="false" customHeight="false" outlineLevel="0" collapsed="false">
      <c r="A65" s="0" t="n">
        <f aca="false">'Исходные данные'!A65</f>
        <v>0.176261</v>
      </c>
      <c r="B65" s="0" t="n">
        <f aca="false">'Исходные данные'!B65</f>
        <v>36.1431</v>
      </c>
      <c r="H65" s="0" t="n">
        <f aca="false">H64+6*$E$272/274</f>
        <v>0.0476889340665586</v>
      </c>
      <c r="I65" s="0" t="n">
        <f aca="false">_xlfn.NORM.DIST(H65,$E$271,$E$272,0)</f>
        <v>0.373854198772801</v>
      </c>
      <c r="J65" s="0" t="n">
        <f aca="false">_xlfn.NORM.DIST(H65,$E$271,$E$272,1)</f>
        <v>0.0525691159817086</v>
      </c>
    </row>
    <row r="66" customFormat="false" ht="12.8" hidden="false" customHeight="false" outlineLevel="0" collapsed="false">
      <c r="A66" s="0" t="n">
        <f aca="false">'Исходные данные'!A66</f>
        <v>0.193632</v>
      </c>
      <c r="B66" s="0" t="n">
        <f aca="false">'Исходные данные'!B66</f>
        <v>36.3367</v>
      </c>
      <c r="H66" s="0" t="n">
        <f aca="false">H65+6*$E$272/274</f>
        <v>0.0539755814681162</v>
      </c>
      <c r="I66" s="0" t="n">
        <f aca="false">_xlfn.NORM.DIST(H66,$E$271,$E$272,0)</f>
        <v>0.387265368339007</v>
      </c>
      <c r="J66" s="0" t="n">
        <f aca="false">_xlfn.NORM.DIST(H66,$E$271,$E$272,1)</f>
        <v>0.0549614091283341</v>
      </c>
    </row>
    <row r="67" customFormat="false" ht="12.8" hidden="false" customHeight="false" outlineLevel="0" collapsed="false">
      <c r="A67" s="0" t="n">
        <f aca="false">'Исходные данные'!A67</f>
        <v>0.0213317</v>
      </c>
      <c r="B67" s="0" t="n">
        <f aca="false">'Исходные данные'!B67</f>
        <v>36.3581</v>
      </c>
      <c r="H67" s="0" t="n">
        <f aca="false">H66+6*$E$272/274</f>
        <v>0.0602622288696737</v>
      </c>
      <c r="I67" s="0" t="n">
        <f aca="false">_xlfn.NORM.DIST(H67,$E$271,$E$272,0)</f>
        <v>0.400965318502347</v>
      </c>
      <c r="J67" s="0" t="n">
        <f aca="false">_xlfn.NORM.DIST(H67,$E$271,$E$272,1)</f>
        <v>0.0574389228148893</v>
      </c>
    </row>
    <row r="68" customFormat="false" ht="12.8" hidden="false" customHeight="false" outlineLevel="0" collapsed="false">
      <c r="A68" s="0" t="n">
        <f aca="false">'Исходные данные'!A68</f>
        <v>0.21521</v>
      </c>
      <c r="B68" s="0" t="n">
        <f aca="false">'Исходные данные'!B68</f>
        <v>36.5733</v>
      </c>
      <c r="H68" s="0" t="n">
        <f aca="false">H67+6*$E$272/274</f>
        <v>0.0665488762712313</v>
      </c>
      <c r="I68" s="0" t="n">
        <f aca="false">_xlfn.NORM.DIST(H68,$E$271,$E$272,0)</f>
        <v>0.414950897372736</v>
      </c>
      <c r="J68" s="0" t="n">
        <f aca="false">_xlfn.NORM.DIST(H68,$E$271,$E$272,1)</f>
        <v>0.0600034628696131</v>
      </c>
    </row>
    <row r="69" customFormat="false" ht="12.8" hidden="false" customHeight="false" outlineLevel="0" collapsed="false">
      <c r="A69" s="0" t="n">
        <f aca="false">'Исходные данные'!A69</f>
        <v>0.142185</v>
      </c>
      <c r="B69" s="0" t="n">
        <f aca="false">'Исходные данные'!B69</f>
        <v>36.7155</v>
      </c>
      <c r="H69" s="0" t="n">
        <f aca="false">H68+6*$E$272/274</f>
        <v>0.0728355236727888</v>
      </c>
      <c r="I69" s="0" t="n">
        <f aca="false">_xlfn.NORM.DIST(H69,$E$271,$E$272,0)</f>
        <v>0.429218424407746</v>
      </c>
      <c r="J69" s="0" t="n">
        <f aca="false">_xlfn.NORM.DIST(H69,$E$271,$E$272,1)</f>
        <v>0.0626568136503273</v>
      </c>
    </row>
    <row r="70" customFormat="false" ht="12.8" hidden="false" customHeight="false" outlineLevel="0" collapsed="false">
      <c r="A70" s="0" t="n">
        <f aca="false">'Исходные данные'!A70</f>
        <v>0.601422</v>
      </c>
      <c r="B70" s="0" t="n">
        <f aca="false">'Исходные данные'!B70</f>
        <v>37.3169</v>
      </c>
      <c r="H70" s="0" t="n">
        <f aca="false">H69+6*$E$272/274</f>
        <v>0.0791221710743464</v>
      </c>
      <c r="I70" s="0" t="n">
        <f aca="false">_xlfn.NORM.DIST(H70,$E$271,$E$272,0)</f>
        <v>0.443763679155628</v>
      </c>
      <c r="J70" s="0" t="n">
        <f aca="false">_xlfn.NORM.DIST(H70,$E$271,$E$272,1)</f>
        <v>0.0654007346851318</v>
      </c>
    </row>
    <row r="71" customFormat="false" ht="12.8" hidden="false" customHeight="false" outlineLevel="0" collapsed="false">
      <c r="A71" s="0" t="n">
        <f aca="false">'Исходные данные'!A71</f>
        <v>0.150841</v>
      </c>
      <c r="B71" s="0" t="n">
        <f aca="false">'Исходные данные'!B71</f>
        <v>37.4677</v>
      </c>
      <c r="H71" s="0" t="n">
        <f aca="false">H70+6*$E$272/274</f>
        <v>0.0854088184759039</v>
      </c>
      <c r="I71" s="0" t="n">
        <f aca="false">_xlfn.NORM.DIST(H71,$E$271,$E$272,0)</f>
        <v>0.458581890924744</v>
      </c>
      <c r="J71" s="0" t="n">
        <f aca="false">_xlfn.NORM.DIST(H71,$E$271,$E$272,1)</f>
        <v>0.0682369572452118</v>
      </c>
    </row>
    <row r="72" customFormat="false" ht="12.8" hidden="false" customHeight="false" outlineLevel="0" collapsed="false">
      <c r="A72" s="0" t="n">
        <f aca="false">'Исходные данные'!A72</f>
        <v>0.979656</v>
      </c>
      <c r="B72" s="0" t="n">
        <f aca="false">'Исходные данные'!B72</f>
        <v>38.4474</v>
      </c>
      <c r="H72" s="0" t="n">
        <f aca="false">H71+6*$E$272/274</f>
        <v>0.0916954658774615</v>
      </c>
      <c r="I72" s="0" t="n">
        <f aca="false">_xlfn.NORM.DIST(H72,$E$271,$E$272,0)</f>
        <v>0.473667729441463</v>
      </c>
      <c r="J72" s="0" t="n">
        <f aca="false">_xlfn.NORM.DIST(H72,$E$271,$E$272,1)</f>
        <v>0.071167180855774</v>
      </c>
    </row>
    <row r="73" customFormat="false" ht="12.8" hidden="false" customHeight="false" outlineLevel="0" collapsed="false">
      <c r="A73" s="0" t="n">
        <f aca="false">'Исходные данные'!A73</f>
        <v>0.0679385</v>
      </c>
      <c r="B73" s="0" t="n">
        <f aca="false">'Исходные данные'!B73</f>
        <v>38.5153</v>
      </c>
      <c r="H73" s="0" t="n">
        <f aca="false">H72+6*$E$272/274</f>
        <v>0.0979821132790191</v>
      </c>
      <c r="I73" s="0" t="n">
        <f aca="false">_xlfn.NORM.DIST(H73,$E$271,$E$272,0)</f>
        <v>0.489015296557328</v>
      </c>
      <c r="J73" s="0" t="n">
        <f aca="false">_xlfn.NORM.DIST(H73,$E$271,$E$272,1)</f>
        <v>0.0741930697515193</v>
      </c>
    </row>
    <row r="74" customFormat="false" ht="12.8" hidden="false" customHeight="false" outlineLevel="0" collapsed="false">
      <c r="A74" s="0" t="n">
        <f aca="false">'Исходные данные'!A74</f>
        <v>0.62101</v>
      </c>
      <c r="B74" s="0" t="n">
        <f aca="false">'Исходные данные'!B74</f>
        <v>39.1363</v>
      </c>
      <c r="H74" s="0" t="n">
        <f aca="false">H73+6*$E$272/274</f>
        <v>0.104268760680577</v>
      </c>
      <c r="I74" s="0" t="n">
        <f aca="false">_xlfn.NORM.DIST(H74,$E$271,$E$272,0)</f>
        <v>0.504618119064764</v>
      </c>
      <c r="J74" s="0" t="n">
        <f aca="false">_xlfn.NORM.DIST(H74,$E$271,$E$272,1)</f>
        <v>0.0773162492834361</v>
      </c>
    </row>
    <row r="75" customFormat="false" ht="12.8" hidden="false" customHeight="false" outlineLevel="0" collapsed="false">
      <c r="A75" s="0" t="n">
        <f aca="false">'Исходные данные'!A75</f>
        <v>0.17941</v>
      </c>
      <c r="B75" s="0" t="n">
        <f aca="false">'Исходные данные'!B75</f>
        <v>39.3157</v>
      </c>
      <c r="H75" s="0" t="n">
        <f aca="false">H74+6*$E$272/274</f>
        <v>0.110555408082134</v>
      </c>
      <c r="I75" s="0" t="n">
        <f aca="false">_xlfn.NORM.DIST(H75,$E$271,$E$272,0)</f>
        <v>0.520469142678793</v>
      </c>
      <c r="J75" s="0" t="n">
        <f aca="false">_xlfn.NORM.DIST(H75,$E$271,$E$272,1)</f>
        <v>0.0805383022840628</v>
      </c>
    </row>
    <row r="76" customFormat="false" ht="12.8" hidden="false" customHeight="false" outlineLevel="0" collapsed="false">
      <c r="A76" s="0" t="n">
        <f aca="false">'Исходные данные'!A76</f>
        <v>0.752879</v>
      </c>
      <c r="B76" s="0" t="n">
        <f aca="false">'Исходные данные'!B76</f>
        <v>40.0686</v>
      </c>
      <c r="H76" s="0" t="n">
        <f aca="false">H75+6*$E$272/274</f>
        <v>0.116842055483692</v>
      </c>
      <c r="I76" s="0" t="n">
        <f aca="false">_xlfn.NORM.DIST(H76,$E$271,$E$272,0)</f>
        <v>0.536560727240092</v>
      </c>
      <c r="J76" s="0" t="n">
        <f aca="false">_xlfn.NORM.DIST(H76,$E$271,$E$272,1)</f>
        <v>0.0838607653987272</v>
      </c>
    </row>
    <row r="77" customFormat="false" ht="12.8" hidden="false" customHeight="false" outlineLevel="0" collapsed="false">
      <c r="A77" s="0" t="n">
        <f aca="false">'Исходные данные'!A77</f>
        <v>0.813206</v>
      </c>
      <c r="B77" s="0" t="n">
        <f aca="false">'Исходные данные'!B77</f>
        <v>40.8818</v>
      </c>
      <c r="H77" s="0" t="n">
        <f aca="false">H76+6*$E$272/274</f>
        <v>0.123128702885249</v>
      </c>
      <c r="I77" s="0" t="n">
        <f aca="false">_xlfn.NORM.DIST(H77,$E$271,$E$272,0)</f>
        <v>0.552884643192388</v>
      </c>
      <c r="J77" s="0" t="n">
        <f aca="false">_xlfn.NORM.DIST(H77,$E$271,$E$272,1)</f>
        <v>0.0872851253906068</v>
      </c>
    </row>
    <row r="78" customFormat="false" ht="12.8" hidden="false" customHeight="false" outlineLevel="0" collapsed="false">
      <c r="A78" s="0" t="n">
        <f aca="false">'Исходные данные'!A78</f>
        <v>0.933824</v>
      </c>
      <c r="B78" s="0" t="n">
        <f aca="false">'Исходные данные'!B78</f>
        <v>41.8156</v>
      </c>
      <c r="H78" s="0" t="n">
        <f aca="false">H77+6*$E$272/274</f>
        <v>0.129415350286807</v>
      </c>
      <c r="I78" s="0" t="n">
        <f aca="false">_xlfn.NORM.DIST(H78,$E$271,$E$272,0)</f>
        <v>0.569432069384479</v>
      </c>
      <c r="J78" s="0" t="n">
        <f aca="false">_xlfn.NORM.DIST(H78,$E$271,$E$272,1)</f>
        <v>0.090812815427783</v>
      </c>
    </row>
    <row r="79" customFormat="false" ht="12.8" hidden="false" customHeight="false" outlineLevel="0" collapsed="false">
      <c r="A79" s="0" t="n">
        <f aca="false">'Исходные данные'!A79</f>
        <v>0.0860388</v>
      </c>
      <c r="B79" s="0" t="n">
        <f aca="false">'Исходные данные'!B79</f>
        <v>41.9017</v>
      </c>
      <c r="H79" s="0" t="n">
        <f aca="false">H78+6*$E$272/274</f>
        <v>0.135701997688364</v>
      </c>
      <c r="I79" s="0" t="n">
        <f aca="false">_xlfn.NORM.DIST(H79,$E$271,$E$272,0)</f>
        <v>0.586193592244257</v>
      </c>
      <c r="J79" s="0" t="n">
        <f aca="false">_xlfn.NORM.DIST(H79,$E$271,$E$272,1)</f>
        <v>0.0944452113607648</v>
      </c>
    </row>
    <row r="80" customFormat="false" ht="12.8" hidden="false" customHeight="false" outlineLevel="0" collapsed="false">
      <c r="A80" s="0" t="n">
        <f aca="false">'Исходные данные'!A80</f>
        <v>0.51345</v>
      </c>
      <c r="B80" s="0" t="n">
        <f aca="false">'Исходные данные'!B80</f>
        <v>42.4151</v>
      </c>
      <c r="H80" s="0" t="n">
        <f aca="false">H79+6*$E$272/274</f>
        <v>0.141988645089922</v>
      </c>
      <c r="I80" s="0" t="n">
        <f aca="false">_xlfn.NORM.DIST(H80,$E$271,$E$272,0)</f>
        <v>0.603159206368866</v>
      </c>
      <c r="J80" s="0" t="n">
        <f aca="false">_xlfn.NORM.DIST(H80,$E$271,$E$272,1)</f>
        <v>0.0981836279992501</v>
      </c>
    </row>
    <row r="81" customFormat="false" ht="12.8" hidden="false" customHeight="false" outlineLevel="0" collapsed="false">
      <c r="A81" s="0" t="n">
        <f aca="false">'Исходные данные'!A81</f>
        <v>0.942365</v>
      </c>
      <c r="B81" s="0" t="n">
        <f aca="false">'Исходные данные'!B81</f>
        <v>43.3575</v>
      </c>
      <c r="H81" s="0" t="n">
        <f aca="false">H80+6*$E$272/274</f>
        <v>0.148275292491479</v>
      </c>
      <c r="I81" s="0" t="n">
        <f aca="false">_xlfn.NORM.DIST(H81,$E$271,$E$272,0)</f>
        <v>0.620318316571651</v>
      </c>
      <c r="J81" s="0" t="n">
        <f aca="false">_xlfn.NORM.DIST(H81,$E$271,$E$272,1)</f>
        <v>0.102029315397155</v>
      </c>
    </row>
    <row r="82" customFormat="false" ht="12.8" hidden="false" customHeight="false" outlineLevel="0" collapsed="false">
      <c r="A82" s="0" t="n">
        <f aca="false">'Исходные данные'!A82</f>
        <v>0.170963</v>
      </c>
      <c r="B82" s="0" t="n">
        <f aca="false">'Исходные данные'!B82</f>
        <v>43.5285</v>
      </c>
      <c r="H82" s="0" t="n">
        <f aca="false">H81+6*$E$272/274</f>
        <v>0.154561939893037</v>
      </c>
      <c r="I82" s="0" t="n">
        <f aca="false">_xlfn.NORM.DIST(H82,$E$271,$E$272,0)</f>
        <v>0.637659741422792</v>
      </c>
      <c r="J82" s="0" t="n">
        <f aca="false">_xlfn.NORM.DIST(H82,$E$271,$E$272,1)</f>
        <v>0.10598345515519</v>
      </c>
    </row>
    <row r="83" customFormat="false" ht="12.8" hidden="false" customHeight="false" outlineLevel="0" collapsed="false">
      <c r="A83" s="0" t="n">
        <f aca="false">'Исходные данные'!A83</f>
        <v>0.475305</v>
      </c>
      <c r="B83" s="0" t="n">
        <f aca="false">'Исходные данные'!B83</f>
        <v>44.0038</v>
      </c>
      <c r="H83" s="0" t="n">
        <f aca="false">H82+6*$E$272/274</f>
        <v>0.160848587294595</v>
      </c>
      <c r="I83" s="0" t="n">
        <f aca="false">_xlfn.NORM.DIST(H83,$E$271,$E$272,0)</f>
        <v>0.655171718316517</v>
      </c>
      <c r="J83" s="0" t="n">
        <f aca="false">_xlfn.NORM.DIST(H83,$E$271,$E$272,1)</f>
        <v>0.110047156750474</v>
      </c>
    </row>
    <row r="84" customFormat="false" ht="12.8" hidden="false" customHeight="false" outlineLevel="0" collapsed="false">
      <c r="A84" s="0" t="n">
        <f aca="false">'Исходные данные'!A84</f>
        <v>0.234191</v>
      </c>
      <c r="B84" s="0" t="n">
        <f aca="false">'Исходные данные'!B84</f>
        <v>44.238</v>
      </c>
      <c r="H84" s="0" t="n">
        <f aca="false">H83+6*$E$272/274</f>
        <v>0.167135234696152</v>
      </c>
      <c r="I84" s="0" t="n">
        <f aca="false">_xlfn.NORM.DIST(H84,$E$271,$E$272,0)</f>
        <v>0.672841910093541</v>
      </c>
      <c r="J84" s="0" t="n">
        <f aca="false">_xlfn.NORM.DIST(H84,$E$271,$E$272,1)</f>
        <v>0.114221453902883</v>
      </c>
    </row>
    <row r="85" customFormat="false" ht="12.8" hidden="false" customHeight="false" outlineLevel="0" collapsed="false">
      <c r="A85" s="0" t="n">
        <f aca="false">'Исходные данные'!A85</f>
        <v>0.646537</v>
      </c>
      <c r="B85" s="0" t="n">
        <f aca="false">'Исходные данные'!B85</f>
        <v>44.8845</v>
      </c>
      <c r="H85" s="0" t="n">
        <f aca="false">H84+6*$E$272/274</f>
        <v>0.17342188209771</v>
      </c>
      <c r="I85" s="0" t="n">
        <f aca="false">_xlfn.NORM.DIST(H85,$E$271,$E$272,0)</f>
        <v>0.690657413242878</v>
      </c>
      <c r="J85" s="0" t="n">
        <f aca="false">_xlfn.NORM.DIST(H85,$E$271,$E$272,1)</f>
        <v>0.118507300987981</v>
      </c>
    </row>
    <row r="86" customFormat="false" ht="12.8" hidden="false" customHeight="false" outlineLevel="0" collapsed="false">
      <c r="A86" s="0" t="n">
        <f aca="false">'Исходные данные'!A86</f>
        <v>0.683904</v>
      </c>
      <c r="B86" s="0" t="n">
        <f aca="false">'Исходные данные'!B86</f>
        <v>45.5684</v>
      </c>
      <c r="H86" s="0" t="n">
        <f aca="false">H85+6*$E$272/274</f>
        <v>0.179708529499267</v>
      </c>
      <c r="I86" s="0" t="n">
        <f aca="false">_xlfn.NORM.DIST(H86,$E$271,$E$272,0)</f>
        <v>0.70860476770249</v>
      </c>
      <c r="J86" s="0" t="n">
        <f aca="false">_xlfn.NORM.DIST(H86,$E$271,$E$272,1)</f>
        <v>0.122905569506533</v>
      </c>
    </row>
    <row r="87" customFormat="false" ht="12.8" hidden="false" customHeight="false" outlineLevel="0" collapsed="false">
      <c r="A87" s="0" t="n">
        <f aca="false">'Исходные данные'!A87</f>
        <v>0.663593</v>
      </c>
      <c r="B87" s="0" t="n">
        <f aca="false">'Исходные данные'!B87</f>
        <v>46.232</v>
      </c>
      <c r="H87" s="0" t="n">
        <f aca="false">H86+6*$E$272/274</f>
        <v>0.185995176900825</v>
      </c>
      <c r="I87" s="0" t="n">
        <f aca="false">_xlfn.NORM.DIST(H87,$E$271,$E$272,0)</f>
        <v>0.726669968273323</v>
      </c>
      <c r="J87" s="0" t="n">
        <f aca="false">_xlfn.NORM.DIST(H87,$E$271,$E$272,1)</f>
        <v>0.127417044620695</v>
      </c>
    </row>
    <row r="88" customFormat="false" ht="12.8" hidden="false" customHeight="false" outlineLevel="0" collapsed="false">
      <c r="A88" s="0" t="n">
        <f aca="false">'Исходные данные'!A88</f>
        <v>0.180721</v>
      </c>
      <c r="B88" s="0" t="n">
        <f aca="false">'Исходные данные'!B88</f>
        <v>46.4127</v>
      </c>
      <c r="H88" s="0" t="n">
        <f aca="false">H87+6*$E$272/274</f>
        <v>0.192281824302382</v>
      </c>
      <c r="I88" s="0" t="n">
        <f aca="false">_xlfn.NORM.DIST(H88,$E$271,$E$272,0)</f>
        <v>0.74483847765618</v>
      </c>
      <c r="J88" s="0" t="n">
        <f aca="false">_xlfn.NORM.DIST(H88,$E$271,$E$272,1)</f>
        <v>0.132042421767053</v>
      </c>
    </row>
    <row r="89" customFormat="false" ht="12.8" hidden="false" customHeight="false" outlineLevel="0" collapsed="false">
      <c r="A89" s="0" t="n">
        <f aca="false">'Исходные данные'!A89</f>
        <v>0.345177</v>
      </c>
      <c r="B89" s="0" t="n">
        <f aca="false">'Исходные данные'!B89</f>
        <v>46.7579</v>
      </c>
      <c r="H89" s="0" t="n">
        <f aca="false">H88+6*$E$272/274</f>
        <v>0.19856847170394</v>
      </c>
      <c r="I89" s="0" t="n">
        <f aca="false">_xlfn.NORM.DIST(H89,$E$271,$E$272,0)</f>
        <v>0.763095241115619</v>
      </c>
      <c r="J89" s="0" t="n">
        <f aca="false">_xlfn.NORM.DIST(H89,$E$271,$E$272,1)</f>
        <v>0.136782303356743</v>
      </c>
    </row>
    <row r="90" customFormat="false" ht="12.8" hidden="false" customHeight="false" outlineLevel="0" collapsed="false">
      <c r="A90" s="0" t="n">
        <f aca="false">'Исходные данные'!A90</f>
        <v>0.321016</v>
      </c>
      <c r="B90" s="0" t="n">
        <f aca="false">'Исходные данные'!B90</f>
        <v>47.0789</v>
      </c>
      <c r="H90" s="0" t="n">
        <f aca="false">H89+6*$E$272/274</f>
        <v>0.204855119105497</v>
      </c>
      <c r="I90" s="0" t="n">
        <f aca="false">_xlfn.NORM.DIST(H90,$E$271,$E$272,0)</f>
        <v>0.78142470276965</v>
      </c>
      <c r="J90" s="0" t="n">
        <f aca="false">_xlfn.NORM.DIST(H90,$E$271,$E$272,1)</f>
        <v>0.141637195572861</v>
      </c>
    </row>
    <row r="91" customFormat="false" ht="12.8" hidden="false" customHeight="false" outlineLevel="0" collapsed="false">
      <c r="A91" s="0" t="n">
        <f aca="false">'Исходные данные'!A91</f>
        <v>0.869046</v>
      </c>
      <c r="B91" s="0" t="n">
        <f aca="false">'Исходные данные'!B91</f>
        <v>47.9479</v>
      </c>
      <c r="H91" s="0" t="n">
        <f aca="false">H90+6*$E$272/274</f>
        <v>0.211141766507055</v>
      </c>
      <c r="I91" s="0" t="n">
        <f aca="false">_xlfn.NORM.DIST(H91,$E$271,$E$272,0)</f>
        <v>0.799810823498431</v>
      </c>
      <c r="J91" s="0" t="n">
        <f aca="false">_xlfn.NORM.DIST(H91,$E$271,$E$272,1)</f>
        <v>0.146607505275382</v>
      </c>
    </row>
    <row r="92" customFormat="false" ht="12.8" hidden="false" customHeight="false" outlineLevel="0" collapsed="false">
      <c r="A92" s="0" t="n">
        <f aca="false">'Исходные данные'!A92</f>
        <v>0.251554</v>
      </c>
      <c r="B92" s="0" t="n">
        <f aca="false">'Исходные данные'!B92</f>
        <v>48.1995</v>
      </c>
      <c r="H92" s="0" t="n">
        <f aca="false">H91+6*$E$272/274</f>
        <v>0.217428413908612</v>
      </c>
      <c r="I92" s="0" t="n">
        <f aca="false">_xlfn.NORM.DIST(H92,$E$271,$E$272,0)</f>
        <v>0.818237100459525</v>
      </c>
      <c r="J92" s="0" t="n">
        <f aca="false">_xlfn.NORM.DIST(H92,$E$271,$E$272,1)</f>
        <v>0.151693537023718</v>
      </c>
    </row>
    <row r="93" customFormat="false" ht="12.8" hidden="false" customHeight="false" outlineLevel="0" collapsed="false">
      <c r="A93" s="0" t="n">
        <f aca="false">'Исходные данные'!A93</f>
        <v>0.893495</v>
      </c>
      <c r="B93" s="0" t="n">
        <f aca="false">'Исходные данные'!B93</f>
        <v>49.093</v>
      </c>
      <c r="H93" s="0" t="n">
        <f aca="false">H92+6*$E$272/274</f>
        <v>0.22371506131017</v>
      </c>
      <c r="I93" s="0" t="n">
        <f aca="false">_xlfn.NORM.DIST(H93,$E$271,$E$272,0)</f>
        <v>0.836686588191497</v>
      </c>
      <c r="J93" s="0" t="n">
        <f aca="false">_xlfn.NORM.DIST(H93,$E$271,$E$272,1)</f>
        <v>0.156895490226964</v>
      </c>
    </row>
    <row r="94" customFormat="false" ht="12.8" hidden="false" customHeight="false" outlineLevel="0" collapsed="false">
      <c r="A94" s="0" t="n">
        <f aca="false">'Исходные данные'!A94</f>
        <v>0.157976</v>
      </c>
      <c r="B94" s="0" t="n">
        <f aca="false">'Исходные данные'!B94</f>
        <v>49.251</v>
      </c>
      <c r="H94" s="0" t="n">
        <f aca="false">H93+6*$E$272/274</f>
        <v>0.230001708711728</v>
      </c>
      <c r="I94" s="0" t="n">
        <f aca="false">_xlfn.NORM.DIST(H94,$E$271,$E$272,0)</f>
        <v>0.855141921281823</v>
      </c>
      <c r="J94" s="0" t="n">
        <f aca="false">_xlfn.NORM.DIST(H94,$E$271,$E$272,1)</f>
        <v>0.162213456431754</v>
      </c>
    </row>
    <row r="95" customFormat="false" ht="12.8" hidden="false" customHeight="false" outlineLevel="0" collapsed="false">
      <c r="A95" s="0" t="n">
        <f aca="false">'Исходные данные'!A95</f>
        <v>0.204799</v>
      </c>
      <c r="B95" s="0" t="n">
        <f aca="false">'Исходные данные'!B95</f>
        <v>49.4558</v>
      </c>
      <c r="H95" s="0" t="n">
        <f aca="false">H94+6*$E$272/274</f>
        <v>0.236288356113285</v>
      </c>
      <c r="I95" s="0" t="n">
        <f aca="false">_xlfn.NORM.DIST(H95,$E$271,$E$272,0)</f>
        <v>0.873585338569215</v>
      </c>
      <c r="J95" s="0" t="n">
        <f aca="false">_xlfn.NORM.DIST(H95,$E$271,$E$272,1)</f>
        <v>0.167647416757452</v>
      </c>
    </row>
    <row r="96" customFormat="false" ht="17.35" hidden="false" customHeight="false" outlineLevel="0" collapsed="false">
      <c r="A96" s="0" t="n">
        <f aca="false">'Исходные данные'!A96</f>
        <v>0.208352</v>
      </c>
      <c r="B96" s="0" t="n">
        <f aca="false">'Исходные данные'!B96</f>
        <v>49.6641</v>
      </c>
      <c r="D96" s="3"/>
      <c r="E96" s="8"/>
      <c r="H96" s="0" t="n">
        <f aca="false">H95+6*$E$272/274</f>
        <v>0.242575003514843</v>
      </c>
      <c r="I96" s="0" t="n">
        <f aca="false">_xlfn.NORM.DIST(H96,$E$271,$E$272,0)</f>
        <v>0.891998708844557</v>
      </c>
      <c r="J96" s="0" t="n">
        <f aca="false">_xlfn.NORM.DIST(H96,$E$271,$E$272,1)</f>
        <v>0.173197239488236</v>
      </c>
    </row>
    <row r="97" customFormat="false" ht="17.35" hidden="false" customHeight="false" outlineLevel="0" collapsed="false">
      <c r="A97" s="0" t="n">
        <f aca="false">'Исходные данные'!A97</f>
        <v>0.546034</v>
      </c>
      <c r="B97" s="0" t="n">
        <f aca="false">'Исходные данные'!B97</f>
        <v>50.2102</v>
      </c>
      <c r="D97" s="3"/>
      <c r="E97" s="8"/>
      <c r="H97" s="0" t="n">
        <f aca="false">H96+6*$E$272/274</f>
        <v>0.2488616509164</v>
      </c>
      <c r="I97" s="0" t="n">
        <f aca="false">_xlfn.NORM.DIST(H97,$E$271,$E$272,0)</f>
        <v>0.910363558008808</v>
      </c>
      <c r="J97" s="0" t="n">
        <f aca="false">_xlfn.NORM.DIST(H97,$E$271,$E$272,1)</f>
        <v>0.178862677831348</v>
      </c>
    </row>
    <row r="98" customFormat="false" ht="12.8" hidden="false" customHeight="false" outlineLevel="0" collapsed="false">
      <c r="A98" s="0" t="n">
        <f aca="false">'Исходные данные'!A98</f>
        <v>0.883658</v>
      </c>
      <c r="B98" s="0" t="n">
        <f aca="false">'Исходные данные'!B98</f>
        <v>51.0938</v>
      </c>
      <c r="H98" s="0" t="n">
        <f aca="false">H97+6*$E$272/274</f>
        <v>0.255148298317958</v>
      </c>
      <c r="I98" s="0" t="n">
        <f aca="false">_xlfn.NORM.DIST(H98,$E$271,$E$272,0)</f>
        <v>0.928661097640329</v>
      </c>
      <c r="J98" s="0" t="n">
        <f aca="false">_xlfn.NORM.DIST(H98,$E$271,$E$272,1)</f>
        <v>0.184643367850538</v>
      </c>
    </row>
    <row r="99" customFormat="false" ht="12.8" hidden="false" customHeight="false" outlineLevel="0" collapsed="false">
      <c r="A99" s="0" t="n">
        <f aca="false">'Исходные данные'!A99</f>
        <v>0.286789</v>
      </c>
      <c r="B99" s="0" t="n">
        <f aca="false">'Исходные данные'!B99</f>
        <v>51.3806</v>
      </c>
      <c r="H99" s="0" t="n">
        <f aca="false">H98+6*$E$272/274</f>
        <v>0.261434945719515</v>
      </c>
      <c r="I99" s="0" t="n">
        <f aca="false">_xlfn.NORM.DIST(H99,$E$271,$E$272,0)</f>
        <v>0.946872254918337</v>
      </c>
      <c r="J99" s="0" t="n">
        <f aca="false">_xlfn.NORM.DIST(H99,$E$271,$E$272,1)</f>
        <v>0.190538826583393</v>
      </c>
    </row>
    <row r="100" customFormat="false" ht="12.8" hidden="false" customHeight="false" outlineLevel="0" collapsed="false">
      <c r="A100" s="0" t="n">
        <f aca="false">'Исходные данные'!A100</f>
        <v>0.24097</v>
      </c>
      <c r="B100" s="0" t="n">
        <f aca="false">'Исходные данные'!B100</f>
        <v>51.6216</v>
      </c>
      <c r="H100" s="0" t="n">
        <f aca="false">H99+6*$E$272/274</f>
        <v>0.267721593121073</v>
      </c>
      <c r="I100" s="0" t="n">
        <f aca="false">_xlfn.NORM.DIST(H100,$E$271,$E$272,0)</f>
        <v>0.964977703843472</v>
      </c>
      <c r="J100" s="0" t="n">
        <f aca="false">_xlfn.NORM.DIST(H100,$E$271,$E$272,1)</f>
        <v>0.196548450350897</v>
      </c>
    </row>
    <row r="101" customFormat="false" ht="17.35" hidden="false" customHeight="false" outlineLevel="0" collapsed="false">
      <c r="A101" s="0" t="n">
        <f aca="false">'Исходные данные'!A101</f>
        <v>0.0718273</v>
      </c>
      <c r="B101" s="0" t="n">
        <f aca="false">'Исходные данные'!B101</f>
        <v>51.6934</v>
      </c>
      <c r="F101" s="1"/>
      <c r="H101" s="0" t="n">
        <f aca="false">H100+6*$E$272/274</f>
        <v>0.27400824052263</v>
      </c>
      <c r="I101" s="0" t="n">
        <f aca="false">_xlfn.NORM.DIST(H101,$E$271,$E$272,0)</f>
        <v>0.982957897690855</v>
      </c>
      <c r="J101" s="0" t="n">
        <f aca="false">_xlfn.NORM.DIST(H101,$E$271,$E$272,1)</f>
        <v>0.20267151326716</v>
      </c>
    </row>
    <row r="102" customFormat="false" ht="12.8" hidden="false" customHeight="false" outlineLevel="0" collapsed="false">
      <c r="A102" s="0" t="n">
        <f aca="false">'Исходные данные'!A102</f>
        <v>0.192316</v>
      </c>
      <c r="B102" s="0" t="n">
        <f aca="false">'Исходные данные'!B102</f>
        <v>51.8857</v>
      </c>
      <c r="H102" s="0" t="n">
        <f aca="false">H101+6*$E$272/274</f>
        <v>0.280294887924188</v>
      </c>
      <c r="I102" s="0" t="n">
        <f aca="false">_xlfn.NORM.DIST(H102,$E$271,$E$272,0)</f>
        <v>1.00079310262557</v>
      </c>
      <c r="J102" s="0" t="n">
        <f aca="false">_xlfn.NORM.DIST(H102,$E$271,$E$272,1)</f>
        <v>0.208907165956878</v>
      </c>
    </row>
    <row r="103" customFormat="false" ht="12.8" hidden="false" customHeight="false" outlineLevel="0" collapsed="false">
      <c r="A103" s="0" t="n">
        <f aca="false">'Исходные данные'!A103</f>
        <v>0.681052</v>
      </c>
      <c r="B103" s="0" t="n">
        <f aca="false">'Исходные данные'!B103</f>
        <v>52.5668</v>
      </c>
      <c r="H103" s="0" t="n">
        <f aca="false">H102+6*$E$272/274</f>
        <v>0.286581535325745</v>
      </c>
      <c r="I103" s="0" t="n">
        <f aca="false">_xlfn.NORM.DIST(H103,$E$271,$E$272,0)</f>
        <v>1.01846343240523</v>
      </c>
      <c r="J103" s="0" t="n">
        <f aca="false">_xlfn.NORM.DIST(H103,$E$271,$E$272,1)</f>
        <v>0.215254434487566</v>
      </c>
    </row>
    <row r="104" customFormat="false" ht="12.8" hidden="false" customHeight="false" outlineLevel="0" collapsed="false">
      <c r="A104" s="0" t="n">
        <f aca="false">'Исходные данные'!A104</f>
        <v>0.441748</v>
      </c>
      <c r="B104" s="0" t="n">
        <f aca="false">'Исходные данные'!B104</f>
        <v>53.0085</v>
      </c>
      <c r="H104" s="0" t="n">
        <f aca="false">H103+6*$E$272/274</f>
        <v>0.292868182727303</v>
      </c>
      <c r="I104" s="0" t="n">
        <f aca="false">_xlfn.NORM.DIST(H104,$E$271,$E$272,0)</f>
        <v>1.03594888408908</v>
      </c>
      <c r="J104" s="0" t="n">
        <f aca="false">_xlfn.NORM.DIST(H104,$E$271,$E$272,1)</f>
        <v>0.221712219523167</v>
      </c>
    </row>
    <row r="105" customFormat="false" ht="12.8" hidden="false" customHeight="false" outlineLevel="0" collapsed="false">
      <c r="A105" s="0" t="n">
        <f aca="false">'Исходные данные'!A105</f>
        <v>0.848413</v>
      </c>
      <c r="B105" s="0" t="n">
        <f aca="false">'Исходные данные'!B105</f>
        <v>53.8569</v>
      </c>
      <c r="H105" s="0" t="n">
        <f aca="false">H104+6*$E$272/274</f>
        <v>0.299154830128861</v>
      </c>
      <c r="I105" s="0" t="n">
        <f aca="false">_xlfn.NORM.DIST(H105,$E$271,$E$272,0)</f>
        <v>1.05322937466845</v>
      </c>
      <c r="J105" s="0" t="n">
        <f aca="false">_xlfn.NORM.DIST(H105,$E$271,$E$272,1)</f>
        <v>0.228279295705093</v>
      </c>
    </row>
    <row r="106" customFormat="false" ht="12.8" hidden="false" customHeight="false" outlineLevel="0" collapsed="false">
      <c r="A106" s="0" t="n">
        <f aca="false">'Исходные данные'!A106</f>
        <v>0.996605</v>
      </c>
      <c r="B106" s="0" t="n">
        <f aca="false">'Исходные данные'!B106</f>
        <v>54.8535</v>
      </c>
      <c r="H106" s="0" t="n">
        <f aca="false">H105+6*$E$272/274</f>
        <v>0.305441477530418</v>
      </c>
      <c r="I106" s="0" t="n">
        <f aca="false">_xlfn.NORM.DIST(H106,$E$271,$E$272,0)</f>
        <v>1.0702847785283</v>
      </c>
      <c r="J106" s="0" t="n">
        <f aca="false">_xlfn.NORM.DIST(H106,$E$271,$E$272,1)</f>
        <v>0.234954311266207</v>
      </c>
    </row>
    <row r="107" customFormat="false" ht="12.8" hidden="false" customHeight="false" outlineLevel="0" collapsed="false">
      <c r="A107" s="0" t="n">
        <f aca="false">'Исходные данные'!A107</f>
        <v>0.0287397</v>
      </c>
      <c r="B107" s="0" t="n">
        <f aca="false">'Исходные данные'!B107</f>
        <v>54.8823</v>
      </c>
      <c r="H107" s="0" t="n">
        <f aca="false">H106+6*$E$272/274</f>
        <v>0.311728124931976</v>
      </c>
      <c r="I107" s="0" t="n">
        <f aca="false">_xlfn.NORM.DIST(H107,$E$271,$E$272,0)</f>
        <v>1.08709496564581</v>
      </c>
      <c r="J107" s="0" t="n">
        <f aca="false">_xlfn.NORM.DIST(H107,$E$271,$E$272,1)</f>
        <v>0.241735787882684</v>
      </c>
    </row>
    <row r="108" customFormat="false" ht="12.8" hidden="false" customHeight="false" outlineLevel="0" collapsed="false">
      <c r="A108" s="0" t="n">
        <f aca="false">'Исходные данные'!A108</f>
        <v>0.852422</v>
      </c>
      <c r="B108" s="0" t="n">
        <f aca="false">'Исходные данные'!B108</f>
        <v>55.7347</v>
      </c>
      <c r="H108" s="0" t="n">
        <f aca="false">H107+6*$E$272/274</f>
        <v>0.318014772333533</v>
      </c>
      <c r="I108" s="0" t="n">
        <f aca="false">_xlfn.NORM.DIST(H108,$E$271,$E$272,0)</f>
        <v>1.10363984042716</v>
      </c>
      <c r="J108" s="0" t="n">
        <f aca="false">_xlfn.NORM.DIST(H108,$E$271,$E$272,1)</f>
        <v>0.248622120768067</v>
      </c>
    </row>
    <row r="109" customFormat="false" ht="12.8" hidden="false" customHeight="false" outlineLevel="0" collapsed="false">
      <c r="A109" s="0" t="n">
        <f aca="false">'Исходные данные'!A109</f>
        <v>0.315115</v>
      </c>
      <c r="B109" s="0" t="n">
        <f aca="false">'Исходные данные'!B109</f>
        <v>56.0498</v>
      </c>
      <c r="H109" s="0" t="n">
        <f aca="false">H108+6*$E$272/274</f>
        <v>0.324301419735091</v>
      </c>
      <c r="I109" s="0" t="n">
        <f aca="false">_xlfn.NORM.DIST(H109,$E$271,$E$272,0)</f>
        <v>1.11989938108068</v>
      </c>
      <c r="J109" s="0" t="n">
        <f aca="false">_xlfn.NORM.DIST(H109,$E$271,$E$272,1)</f>
        <v>0.25561157901322</v>
      </c>
    </row>
    <row r="110" customFormat="false" ht="12.8" hidden="false" customHeight="false" outlineLevel="0" collapsed="false">
      <c r="A110" s="0" t="n">
        <f aca="false">'Исходные данные'!A110</f>
        <v>0.981869</v>
      </c>
      <c r="B110" s="0" t="n">
        <f aca="false">'Исходные данные'!B110</f>
        <v>57.0317</v>
      </c>
      <c r="H110" s="0" t="n">
        <f aca="false">H109+6*$E$272/274</f>
        <v>0.330588067136648</v>
      </c>
      <c r="I110" s="0" t="n">
        <f aca="false">_xlfn.NORM.DIST(H110,$E$271,$E$272,0)</f>
        <v>1.13585367942028</v>
      </c>
      <c r="J110" s="0" t="n">
        <f aca="false">_xlfn.NORM.DIST(H110,$E$271,$E$272,1)</f>
        <v>0.262702306175217</v>
      </c>
      <c r="K110" s="0" t="s">
        <v>4</v>
      </c>
    </row>
    <row r="111" customFormat="false" ht="12.8" hidden="false" customHeight="false" outlineLevel="0" collapsed="false">
      <c r="A111" s="0" t="n">
        <f aca="false">'Исходные данные'!A111</f>
        <v>0.356696</v>
      </c>
      <c r="B111" s="0" t="n">
        <f aca="false">'Исходные данные'!B111</f>
        <v>57.3884</v>
      </c>
      <c r="H111" s="0" t="n">
        <f aca="false">H110+6*$E$272/274</f>
        <v>0.336874714538206</v>
      </c>
      <c r="I111" s="0" t="n">
        <f aca="false">_xlfn.NORM.DIST(H111,$E$271,$E$272,0)</f>
        <v>1.15148298099065</v>
      </c>
      <c r="J111" s="0" t="n">
        <f aca="false">_xlfn.NORM.DIST(H111,$E$271,$E$272,1)</f>
        <v>0.269892321117521</v>
      </c>
    </row>
    <row r="112" customFormat="false" ht="12.8" hidden="false" customHeight="false" outlineLevel="0" collapsed="false">
      <c r="A112" s="0" t="n">
        <f aca="false">'Исходные данные'!A112</f>
        <v>0.655621</v>
      </c>
      <c r="B112" s="0" t="n">
        <f aca="false">'Исходные данные'!B112</f>
        <v>58.044</v>
      </c>
      <c r="H112" s="0" t="n">
        <f aca="false">H111+6*$E$272/274</f>
        <v>0.343161361939763</v>
      </c>
      <c r="I112" s="0" t="n">
        <f aca="false">_xlfn.NORM.DIST(H112,$E$271,$E$272,0)</f>
        <v>1.16676772540266</v>
      </c>
      <c r="J112" s="0" t="n">
        <f aca="false">_xlfn.NORM.DIST(H112,$E$271,$E$272,1)</f>
        <v>0.277179519103147</v>
      </c>
    </row>
    <row r="113" customFormat="false" ht="12.8" hidden="false" customHeight="false" outlineLevel="0" collapsed="false">
      <c r="A113" s="0" t="n">
        <f aca="false">'Исходные данные'!A113</f>
        <v>0.0779715</v>
      </c>
      <c r="B113" s="0" t="n">
        <f aca="false">'Исходные данные'!B113</f>
        <v>58.122</v>
      </c>
      <c r="H113" s="0" t="n">
        <f aca="false">H112+6*$E$272/274</f>
        <v>0.349448009341321</v>
      </c>
      <c r="I113" s="0" t="n">
        <f aca="false">_xlfn.NORM.DIST(H113,$E$271,$E$272,0)</f>
        <v>1.18168858676511</v>
      </c>
      <c r="J113" s="0" t="n">
        <f aca="false">_xlfn.NORM.DIST(H113,$E$271,$E$272,1)</f>
        <v>0.284561673141755</v>
      </c>
    </row>
    <row r="114" customFormat="false" ht="12.8" hidden="false" customHeight="false" outlineLevel="0" collapsed="false">
      <c r="A114" s="0" t="n">
        <f aca="false">'Исходные данные'!A114</f>
        <v>0.381421</v>
      </c>
      <c r="B114" s="0" t="n">
        <f aca="false">'Исходные данные'!B114</f>
        <v>58.5034</v>
      </c>
      <c r="H114" s="0" t="n">
        <f aca="false">H113+6*$E$272/274</f>
        <v>0.355734656742878</v>
      </c>
      <c r="I114" s="0" t="n">
        <f aca="false">_xlfn.NORM.DIST(H114,$E$271,$E$272,0)</f>
        <v>1.19622651409709</v>
      </c>
      <c r="J114" s="0" t="n">
        <f aca="false">_xlfn.NORM.DIST(H114,$E$271,$E$272,1)</f>
        <v>0.292036435590927</v>
      </c>
    </row>
    <row r="115" customFormat="false" ht="12.8" hidden="false" customHeight="false" outlineLevel="0" collapsed="false">
      <c r="A115" s="0" t="n">
        <f aca="false">'Исходные данные'!A115</f>
        <v>0.85963</v>
      </c>
      <c r="B115" s="0" t="n">
        <f aca="false">'Исходные данные'!B115</f>
        <v>59.363</v>
      </c>
      <c r="H115" s="0" t="n">
        <f aca="false">H114+6*$E$272/274</f>
        <v>0.362021304144436</v>
      </c>
      <c r="I115" s="0" t="n">
        <f aca="false">_xlfn.NORM.DIST(H115,$E$271,$E$272,0)</f>
        <v>1.21036277160383</v>
      </c>
      <c r="J115" s="0" t="n">
        <f aca="false">_xlfn.NORM.DIST(H115,$E$271,$E$272,1)</f>
        <v>0.299601340011132</v>
      </c>
    </row>
    <row r="116" customFormat="false" ht="12.8" hidden="false" customHeight="false" outlineLevel="0" collapsed="false">
      <c r="A116" s="0" t="n">
        <f aca="false">'Исходные данные'!A116</f>
        <v>0.376067</v>
      </c>
      <c r="B116" s="0" t="n">
        <f aca="false">'Исходные данные'!B116</f>
        <v>59.7391</v>
      </c>
      <c r="H116" s="0" t="n">
        <f aca="false">H115+6*$E$272/274</f>
        <v>0.368307951545994</v>
      </c>
      <c r="I116" s="0" t="n">
        <f aca="false">_xlfn.NORM.DIST(H116,$E$271,$E$272,0)</f>
        <v>1.22407897869752</v>
      </c>
      <c r="J116" s="0" t="n">
        <f aca="false">_xlfn.NORM.DIST(H116,$E$271,$E$272,1)</f>
        <v>0.307253803273153</v>
      </c>
    </row>
    <row r="117" customFormat="false" ht="12.8" hidden="false" customHeight="false" outlineLevel="0" collapsed="false">
      <c r="A117" s="0" t="n">
        <f aca="false">'Исходные данные'!A117</f>
        <v>0.708826</v>
      </c>
      <c r="B117" s="0" t="n">
        <f aca="false">'Исходные данные'!B117</f>
        <v>60.4479</v>
      </c>
      <c r="H117" s="0" t="n">
        <f aca="false">H116+6*$E$272/274</f>
        <v>0.374594598947551</v>
      </c>
      <c r="I117" s="0" t="n">
        <f aca="false">_xlfn.NORM.DIST(H117,$E$271,$E$272,0)</f>
        <v>1.23735714964442</v>
      </c>
      <c r="J117" s="0" t="n">
        <f aca="false">_xlfn.NORM.DIST(H117,$E$271,$E$272,1)</f>
        <v>0.314991127916002</v>
      </c>
    </row>
    <row r="118" customFormat="false" ht="12.8" hidden="false" customHeight="false" outlineLevel="0" collapsed="false">
      <c r="A118" s="0" t="n">
        <f aca="false">'Исходные данные'!A118</f>
        <v>0.414173</v>
      </c>
      <c r="B118" s="0" t="n">
        <f aca="false">'Исходные данные'!B118</f>
        <v>60.8621</v>
      </c>
      <c r="H118" s="0" t="n">
        <f aca="false">H117+6*$E$272/274</f>
        <v>0.380881246349109</v>
      </c>
      <c r="I118" s="0" t="n">
        <f aca="false">_xlfn.NORM.DIST(H118,$E$271,$E$272,0)</f>
        <v>1.25017973271899</v>
      </c>
      <c r="J118" s="0" t="n">
        <f aca="false">_xlfn.NORM.DIST(H118,$E$271,$E$272,1)</f>
        <v>0.322810504752589</v>
      </c>
    </row>
    <row r="119" customFormat="false" ht="12.8" hidden="false" customHeight="false" outlineLevel="0" collapsed="false">
      <c r="A119" s="0" t="n">
        <f aca="false">'Исходные данные'!A119</f>
        <v>0.325974</v>
      </c>
      <c r="B119" s="0" t="n">
        <f aca="false">'Исходные данные'!B119</f>
        <v>61.1881</v>
      </c>
      <c r="H119" s="0" t="n">
        <f aca="false">H118+6*$E$272/274</f>
        <v>0.387167893750666</v>
      </c>
      <c r="I119" s="0" t="n">
        <f aca="false">_xlfn.NORM.DIST(H119,$E$271,$E$272,0)</f>
        <v>1.26252964874625</v>
      </c>
      <c r="J119" s="0" t="n">
        <f aca="false">_xlfn.NORM.DIST(H119,$E$271,$E$272,1)</f>
        <v>0.33070901571968</v>
      </c>
    </row>
    <row r="120" customFormat="false" ht="12.8" hidden="false" customHeight="false" outlineLevel="0" collapsed="false">
      <c r="A120" s="0" t="n">
        <f aca="false">'Исходные данные'!A120</f>
        <v>0.321785</v>
      </c>
      <c r="B120" s="0" t="n">
        <f aca="false">'Исходные данные'!B120</f>
        <v>61.5098</v>
      </c>
      <c r="H120" s="0" t="n">
        <f aca="false">H119+6*$E$272/274</f>
        <v>0.393454541152224</v>
      </c>
      <c r="I120" s="0" t="n">
        <f aca="false">_xlfn.NORM.DIST(H120,$E$271,$E$272,0)</f>
        <v>1.27439032891447</v>
      </c>
      <c r="J120" s="0" t="n">
        <f aca="false">_xlfn.NORM.DIST(H120,$E$271,$E$272,1)</f>
        <v>0.338683636967928</v>
      </c>
    </row>
    <row r="121" customFormat="false" ht="12.8" hidden="false" customHeight="false" outlineLevel="0" collapsed="false">
      <c r="A121" s="0" t="n">
        <f aca="false">'Исходные данные'!A121</f>
        <v>0.490433</v>
      </c>
      <c r="B121" s="0" t="n">
        <f aca="false">'Исходные данные'!B121</f>
        <v>62.0003</v>
      </c>
      <c r="H121" s="0" t="n">
        <f aca="false">H120+6*$E$272/274</f>
        <v>0.399741188553781</v>
      </c>
      <c r="I121" s="0" t="n">
        <f aca="false">_xlfn.NORM.DIST(H121,$E$271,$E$272,0)</f>
        <v>1.28574575174099</v>
      </c>
      <c r="J121" s="0" t="n">
        <f aca="false">_xlfn.NORM.DIST(H121,$E$271,$E$272,1)</f>
        <v>0.346731242187019</v>
      </c>
    </row>
    <row r="122" customFormat="false" ht="12.8" hidden="false" customHeight="false" outlineLevel="0" collapsed="false">
      <c r="A122" s="0" t="n">
        <f aca="false">'Исходные данные'!A122</f>
        <v>0.314678</v>
      </c>
      <c r="B122" s="0" t="n">
        <f aca="false">'Исходные данные'!B122</f>
        <v>62.315</v>
      </c>
      <c r="H122" s="0" t="n">
        <f aca="false">H121+6*$E$272/274</f>
        <v>0.406027835955339</v>
      </c>
      <c r="I122" s="0" t="n">
        <f aca="false">_xlfn.NORM.DIST(H122,$E$271,$E$272,0)</f>
        <v>1.29658047907643</v>
      </c>
      <c r="J122" s="0" t="n">
        <f aca="false">_xlfn.NORM.DIST(H122,$E$271,$E$272,1)</f>
        <v>0.354848606160239</v>
      </c>
    </row>
    <row r="123" customFormat="false" ht="12.8" hidden="false" customHeight="false" outlineLevel="0" collapsed="false">
      <c r="A123" s="0" t="n">
        <f aca="false">'Исходные данные'!A123</f>
        <v>0.298517</v>
      </c>
      <c r="B123" s="0" t="n">
        <f aca="false">'Исходные данные'!B123</f>
        <v>62.6135</v>
      </c>
      <c r="H123" s="0" t="n">
        <f aca="false">H122+6*$E$272/274</f>
        <v>0.412314483356896</v>
      </c>
      <c r="I123" s="0" t="n">
        <f aca="false">_xlfn.NORM.DIST(H123,$E$271,$E$272,0)</f>
        <v>1.3068796910338</v>
      </c>
      <c r="J123" s="0" t="n">
        <f aca="false">_xlfn.NORM.DIST(H123,$E$271,$E$272,1)</f>
        <v>0.36303240854207</v>
      </c>
    </row>
    <row r="124" customFormat="false" ht="12.8" hidden="false" customHeight="false" outlineLevel="0" collapsed="false">
      <c r="A124" s="0" t="n">
        <f aca="false">'Исходные данные'!A124</f>
        <v>0.512092</v>
      </c>
      <c r="B124" s="0" t="n">
        <f aca="false">'Исходные данные'!B124</f>
        <v>63.1256</v>
      </c>
      <c r="H124" s="0" t="n">
        <f aca="false">H123+6*$E$272/274</f>
        <v>0.418601130758454</v>
      </c>
      <c r="I124" s="0" t="n">
        <f aca="false">_xlfn.NORM.DIST(H124,$E$271,$E$272,0)</f>
        <v>1.31662921973237</v>
      </c>
      <c r="J124" s="0" t="n">
        <f aca="false">_xlfn.NORM.DIST(H124,$E$271,$E$272,1)</f>
        <v>0.371279237851712</v>
      </c>
    </row>
    <row r="125" customFormat="false" ht="12.8" hidden="false" customHeight="false" outlineLevel="0" collapsed="false">
      <c r="A125" s="0" t="n">
        <f aca="false">'Исходные данные'!A125</f>
        <v>0.500782</v>
      </c>
      <c r="B125" s="0" t="n">
        <f aca="false">'Исходные данные'!B125</f>
        <v>63.6263</v>
      </c>
      <c r="H125" s="0" t="n">
        <f aca="false">H124+6*$E$272/274</f>
        <v>0.424887778160011</v>
      </c>
      <c r="I125" s="0" t="n">
        <f aca="false">_xlfn.NORM.DIST(H125,$E$271,$E$272,0)</f>
        <v>1.32581558174875</v>
      </c>
      <c r="J125" s="0" t="n">
        <f aca="false">_xlfn.NORM.DIST(H125,$E$271,$E$272,1)</f>
        <v>0.379585595674716</v>
      </c>
    </row>
    <row r="126" customFormat="false" ht="12.8" hidden="false" customHeight="false" outlineLevel="0" collapsed="false">
      <c r="A126" s="0" t="n">
        <f aca="false">'Исходные данные'!A126</f>
        <v>0.0782147</v>
      </c>
      <c r="B126" s="0" t="n">
        <f aca="false">'Исходные данные'!B126</f>
        <v>63.7046</v>
      </c>
      <c r="H126" s="0" t="n">
        <f aca="false">H125+6*$E$272/274</f>
        <v>0.431174425561569</v>
      </c>
      <c r="I126" s="0" t="n">
        <f aca="false">_xlfn.NORM.DIST(H126,$E$271,$E$272,0)</f>
        <v>1.33442600917112</v>
      </c>
      <c r="J126" s="0" t="n">
        <f aca="false">_xlfn.NORM.DIST(H126,$E$271,$E$272,1)</f>
        <v>0.387947901064305</v>
      </c>
    </row>
    <row r="127" customFormat="false" ht="12.8" hidden="false" customHeight="false" outlineLevel="0" collapsed="false">
      <c r="A127" s="0" t="n">
        <f aca="false">'Исходные данные'!A127</f>
        <v>0.298364</v>
      </c>
      <c r="B127" s="0" t="n">
        <f aca="false">'Исходные данные'!B127</f>
        <v>64.0029</v>
      </c>
      <c r="H127" s="0" t="n">
        <f aca="false">H126+6*$E$272/274</f>
        <v>0.437461072963127</v>
      </c>
      <c r="I127" s="0" t="n">
        <f aca="false">_xlfn.NORM.DIST(H127,$E$271,$E$272,0)</f>
        <v>1.34244847915682</v>
      </c>
      <c r="J127" s="0" t="n">
        <f aca="false">_xlfn.NORM.DIST(H127,$E$271,$E$272,1)</f>
        <v>0.39636249513326</v>
      </c>
    </row>
    <row r="128" customFormat="false" ht="12.8" hidden="false" customHeight="false" outlineLevel="0" collapsed="false">
      <c r="A128" s="0" t="n">
        <f aca="false">'Исходные данные'!A128</f>
        <v>0.881009</v>
      </c>
      <c r="B128" s="0" t="n">
        <f aca="false">'Исходные данные'!B128</f>
        <v>64.8839</v>
      </c>
      <c r="H128" s="0" t="n">
        <f aca="false">H127+6*$E$272/274</f>
        <v>0.443747720364684</v>
      </c>
      <c r="I128" s="0" t="n">
        <f aca="false">_xlfn.NORM.DIST(H128,$E$271,$E$272,0)</f>
        <v>1.3498717418973</v>
      </c>
      <c r="J128" s="0" t="n">
        <f aca="false">_xlfn.NORM.DIST(H128,$E$271,$E$272,1)</f>
        <v>0.404825645826665</v>
      </c>
    </row>
    <row r="129" customFormat="false" ht="12.8" hidden="false" customHeight="false" outlineLevel="0" collapsed="false">
      <c r="A129" s="0" t="n">
        <f aca="false">'Исходные данные'!A129</f>
        <v>0.784344</v>
      </c>
      <c r="B129" s="0" t="n">
        <f aca="false">'Исходные данные'!B129</f>
        <v>65.6683</v>
      </c>
      <c r="H129" s="0" t="n">
        <f aca="false">H128+6*$E$272/274</f>
        <v>0.450034367766242</v>
      </c>
      <c r="I129" s="0" t="n">
        <f aca="false">_xlfn.NORM.DIST(H129,$E$271,$E$272,0)</f>
        <v>1.35668534689956</v>
      </c>
      <c r="J129" s="0" t="n">
        <f aca="false">_xlfn.NORM.DIST(H129,$E$271,$E$272,1)</f>
        <v>0.413333552865223</v>
      </c>
    </row>
    <row r="130" customFormat="false" ht="12.8" hidden="false" customHeight="false" outlineLevel="0" collapsed="false">
      <c r="A130" s="0" t="n">
        <f aca="false">'Исходные данные'!A130</f>
        <v>0.0806682</v>
      </c>
      <c r="B130" s="0" t="n">
        <f aca="false">'Исходные данные'!B130</f>
        <v>65.7489</v>
      </c>
      <c r="H130" s="0" t="n">
        <f aca="false">H129+6*$E$272/274</f>
        <v>0.456321015167799</v>
      </c>
      <c r="I130" s="0" t="n">
        <f aca="false">_xlfn.NORM.DIST(H130,$E$271,$E$272,0)</f>
        <v>1.3628796674982</v>
      </c>
      <c r="J130" s="0" t="n">
        <f aca="false">_xlfn.NORM.DIST(H130,$E$271,$E$272,1)</f>
        <v>0.42188235284826</v>
      </c>
    </row>
    <row r="131" customFormat="false" ht="12.8" hidden="false" customHeight="false" outlineLevel="0" collapsed="false">
      <c r="A131" s="0" t="n">
        <f aca="false">'Исходные данные'!A131</f>
        <v>0.312922</v>
      </c>
      <c r="B131" s="0" t="n">
        <f aca="false">'Исходные данные'!B131</f>
        <v>66.0619</v>
      </c>
      <c r="H131" s="0" t="n">
        <f aca="false">H130+6*$E$272/274</f>
        <v>0.462607662569357</v>
      </c>
      <c r="I131" s="0" t="n">
        <f aca="false">_xlfn.NORM.DIST(H131,$E$271,$E$272,0)</f>
        <v>1.36844592351741</v>
      </c>
      <c r="J131" s="0" t="n">
        <f aca="false">_xlfn.NORM.DIST(H131,$E$271,$E$272,1)</f>
        <v>0.43046812450507</v>
      </c>
    </row>
    <row r="132" customFormat="false" ht="12.8" hidden="false" customHeight="false" outlineLevel="0" collapsed="false">
      <c r="A132" s="0" t="n">
        <f aca="false">'Исходные данные'!A132</f>
        <v>0.0663043</v>
      </c>
      <c r="B132" s="0" t="n">
        <f aca="false">'Исходные данные'!B132</f>
        <v>66.1282</v>
      </c>
      <c r="H132" s="0" t="n">
        <f aca="false">H131+6*$E$272/274</f>
        <v>0.468894309970914</v>
      </c>
      <c r="I132" s="0" t="n">
        <f aca="false">_xlfn.NORM.DIST(H132,$E$271,$E$272,0)</f>
        <v>1.37337620200851</v>
      </c>
      <c r="J132" s="0" t="n">
        <f aca="false">_xlfn.NORM.DIST(H132,$E$271,$E$272,1)</f>
        <v>0.439086894082703</v>
      </c>
    </row>
    <row r="133" customFormat="false" ht="12.8" hidden="false" customHeight="false" outlineLevel="0" collapsed="false">
      <c r="A133" s="0" t="n">
        <f aca="false">'Исходные данные'!A133</f>
        <v>0.0395537</v>
      </c>
      <c r="B133" s="0" t="n">
        <f aca="false">'Исходные данные'!B133</f>
        <v>66.1677</v>
      </c>
      <c r="H133" s="0" t="n">
        <f aca="false">H132+6*$E$272/274</f>
        <v>0.475180957372472</v>
      </c>
      <c r="I133" s="0" t="n">
        <f aca="false">_xlfn.NORM.DIST(H133,$E$271,$E$272,0)</f>
        <v>1.37766347599424</v>
      </c>
      <c r="J133" s="0" t="n">
        <f aca="false">_xlfn.NORM.DIST(H133,$E$271,$E$272,1)</f>
        <v>0.447734640857901</v>
      </c>
    </row>
    <row r="134" customFormat="false" ht="12.8" hidden="false" customHeight="false" outlineLevel="0" collapsed="false">
      <c r="A134" s="0" t="n">
        <f aca="false">'Исходные данные'!A134</f>
        <v>0.572613</v>
      </c>
      <c r="B134" s="0" t="n">
        <f aca="false">'Исходные данные'!B134</f>
        <v>66.7403</v>
      </c>
      <c r="H134" s="0" t="n">
        <f aca="false">H133+6*$E$272/274</f>
        <v>0.481467604774029</v>
      </c>
      <c r="I134" s="0" t="n">
        <f aca="false">_xlfn.NORM.DIST(H134,$E$271,$E$272,0)</f>
        <v>1.38130162115782</v>
      </c>
      <c r="J134" s="0" t="n">
        <f aca="false">_xlfn.NORM.DIST(H134,$E$271,$E$272,1)</f>
        <v>0.456407302760434</v>
      </c>
    </row>
    <row r="135" customFormat="false" ht="12.8" hidden="false" customHeight="false" outlineLevel="0" collapsed="false">
      <c r="A135" s="0" t="n">
        <f aca="false">'Исходные данные'!A135</f>
        <v>0.806597</v>
      </c>
      <c r="B135" s="0" t="n">
        <f aca="false">'Исходные данные'!B135</f>
        <v>67.5469</v>
      </c>
      <c r="H135" s="0" t="n">
        <f aca="false">H134+6*$E$272/274</f>
        <v>0.487754252175587</v>
      </c>
      <c r="I135" s="0" t="n">
        <f aca="false">_xlfn.NORM.DIST(H135,$E$271,$E$272,0)</f>
        <v>1.38428543042121</v>
      </c>
      <c r="J135" s="0" t="n">
        <f aca="false">_xlfn.NORM.DIST(H135,$E$271,$E$272,1)</f>
        <v>0.465100782094754</v>
      </c>
    </row>
    <row r="136" customFormat="false" ht="12.8" hidden="false" customHeight="false" outlineLevel="0" collapsed="false">
      <c r="A136" s="0" t="n">
        <f aca="false">'Исходные данные'!A136</f>
        <v>0.95176</v>
      </c>
      <c r="B136" s="0" t="n">
        <f aca="false">'Исходные данные'!B136</f>
        <v>68.4987</v>
      </c>
      <c r="H136" s="0" t="n">
        <f aca="false">H135+6*$E$272/274</f>
        <v>0.494040899577144</v>
      </c>
      <c r="I136" s="0" t="n">
        <f aca="false">_xlfn.NORM.DIST(H136,$E$271,$E$272,0)</f>
        <v>1.38661062636402</v>
      </c>
      <c r="J136" s="0" t="n">
        <f aca="false">_xlfn.NORM.DIST(H136,$E$271,$E$272,1)</f>
        <v>0.473810951346533</v>
      </c>
    </row>
    <row r="137" customFormat="false" ht="12.8" hidden="false" customHeight="false" outlineLevel="0" collapsed="false">
      <c r="A137" s="0" t="n">
        <f aca="false">'Исходные данные'!A137</f>
        <v>0.882406</v>
      </c>
      <c r="B137" s="0" t="n">
        <f aca="false">'Исходные данные'!B137</f>
        <v>69.3811</v>
      </c>
      <c r="H137" s="0" t="n">
        <f aca="false">H136+6*$E$272/274</f>
        <v>0.500327546978702</v>
      </c>
      <c r="I137" s="0" t="n">
        <f aca="false">_xlfn.NORM.DIST(H137,$E$271,$E$272,0)</f>
        <v>1.38827387144164</v>
      </c>
      <c r="J137" s="0" t="n">
        <f aca="false">_xlfn.NORM.DIST(H137,$E$271,$E$272,1)</f>
        <v>0.48253365906037</v>
      </c>
    </row>
    <row r="138" customFormat="false" ht="12.8" hidden="false" customHeight="false" outlineLevel="0" collapsed="false">
      <c r="A138" s="0" t="n">
        <f aca="false">'Исходные данные'!A138</f>
        <v>0.726409</v>
      </c>
      <c r="B138" s="0" t="n">
        <f aca="false">'Исходные данные'!B138</f>
        <v>70.1075</v>
      </c>
      <c r="H138" s="0" t="n">
        <f aca="false">H137+6*$E$272/274</f>
        <v>0.50661419438026</v>
      </c>
      <c r="I138" s="0" t="n">
        <f aca="false">_xlfn.NORM.DIST(H138,$E$271,$E$272,0)</f>
        <v>1.38927277596835</v>
      </c>
      <c r="J138" s="0" t="n">
        <f aca="false">_xlfn.NORM.DIST(H138,$E$271,$E$272,1)</f>
        <v>0.491264735774736</v>
      </c>
    </row>
    <row r="139" customFormat="false" ht="12.8" hidden="false" customHeight="false" outlineLevel="0" collapsed="false">
      <c r="A139" s="0" t="n">
        <f aca="false">'Исходные данные'!A139</f>
        <v>0.0862894</v>
      </c>
      <c r="B139" s="0" t="n">
        <f aca="false">'Исходные данные'!B139</f>
        <v>70.1938</v>
      </c>
      <c r="H139" s="0" t="n">
        <f aca="false">H138+6*$E$272/274</f>
        <v>0.512900841781817</v>
      </c>
      <c r="I139" s="0" t="n">
        <f aca="false">_xlfn.NORM.DIST(H139,$E$271,$E$272,0)</f>
        <v>1.38960590383875</v>
      </c>
      <c r="J139" s="0" t="n">
        <f aca="false">_xlfn.NORM.DIST(H139,$E$271,$E$272,1)</f>
        <v>0.499999999999999</v>
      </c>
    </row>
    <row r="140" customFormat="false" ht="12.8" hidden="false" customHeight="false" outlineLevel="0" collapsed="false">
      <c r="A140" s="0" t="n">
        <f aca="false">'Исходные данные'!A140</f>
        <v>0.331059</v>
      </c>
      <c r="B140" s="0" t="n">
        <f aca="false">'Исходные данные'!B140</f>
        <v>70.5249</v>
      </c>
      <c r="H140" s="0" t="n">
        <f aca="false">H139+6*$E$272/274</f>
        <v>0.519187489183375</v>
      </c>
      <c r="I140" s="0" t="n">
        <f aca="false">_xlfn.NORM.DIST(H140,$E$271,$E$272,0)</f>
        <v>1.38927277596835</v>
      </c>
      <c r="J140" s="0" t="n">
        <f aca="false">_xlfn.NORM.DIST(H140,$E$271,$E$272,1)</f>
        <v>0.508735264225261</v>
      </c>
    </row>
    <row r="141" customFormat="false" ht="12.8" hidden="false" customHeight="false" outlineLevel="0" collapsed="false">
      <c r="A141" s="0" t="n">
        <f aca="false">'Исходные данные'!A141</f>
        <v>0.998665</v>
      </c>
      <c r="B141" s="0" t="n">
        <f aca="false">'Исходные данные'!B141</f>
        <v>71.5235</v>
      </c>
      <c r="H141" s="0" t="n">
        <f aca="false">H140+6*$E$272/274</f>
        <v>0.525474136584932</v>
      </c>
      <c r="I141" s="0" t="n">
        <f aca="false">_xlfn.NORM.DIST(H141,$E$271,$E$272,0)</f>
        <v>1.38827387144164</v>
      </c>
      <c r="J141" s="0" t="n">
        <f aca="false">_xlfn.NORM.DIST(H141,$E$271,$E$272,1)</f>
        <v>0.517466340939627</v>
      </c>
    </row>
    <row r="142" customFormat="false" ht="12.8" hidden="false" customHeight="false" outlineLevel="0" collapsed="false">
      <c r="A142" s="0" t="n">
        <f aca="false">'Исходные данные'!A142</f>
        <v>0.829758</v>
      </c>
      <c r="B142" s="0" t="n">
        <f aca="false">'Исходные данные'!B142</f>
        <v>72.3533</v>
      </c>
      <c r="H142" s="0" t="n">
        <f aca="false">H141+6*$E$272/274</f>
        <v>0.53176078398649</v>
      </c>
      <c r="I142" s="0" t="n">
        <f aca="false">_xlfn.NORM.DIST(H142,$E$271,$E$272,0)</f>
        <v>1.38661062636402</v>
      </c>
      <c r="J142" s="0" t="n">
        <f aca="false">_xlfn.NORM.DIST(H142,$E$271,$E$272,1)</f>
        <v>0.526189048653465</v>
      </c>
    </row>
    <row r="143" customFormat="false" ht="12.8" hidden="false" customHeight="false" outlineLevel="0" collapsed="false">
      <c r="A143" s="0" t="n">
        <f aca="false">'Исходные данные'!A143</f>
        <v>0.951782</v>
      </c>
      <c r="B143" s="0" t="n">
        <f aca="false">'Исходные данные'!B143</f>
        <v>73.3051</v>
      </c>
      <c r="H143" s="0" t="n">
        <f aca="false">H142+6*$E$272/274</f>
        <v>0.538047431388048</v>
      </c>
      <c r="I143" s="0" t="n">
        <f aca="false">_xlfn.NORM.DIST(H143,$E$271,$E$272,0)</f>
        <v>1.38428543042121</v>
      </c>
      <c r="J143" s="0" t="n">
        <f aca="false">_xlfn.NORM.DIST(H143,$E$271,$E$272,1)</f>
        <v>0.534899217905243</v>
      </c>
    </row>
    <row r="144" customFormat="false" ht="12.8" hidden="false" customHeight="false" outlineLevel="0" collapsed="false">
      <c r="A144" s="0" t="n">
        <f aca="false">'Исходные данные'!A144</f>
        <v>0.466706</v>
      </c>
      <c r="B144" s="0" t="n">
        <f aca="false">'Исходные данные'!B144</f>
        <v>73.7718</v>
      </c>
      <c r="H144" s="0" t="n">
        <f aca="false">H143+6*$E$272/274</f>
        <v>0.544334078789605</v>
      </c>
      <c r="I144" s="0" t="n">
        <f aca="false">_xlfn.NORM.DIST(H144,$E$271,$E$272,0)</f>
        <v>1.38130162115783</v>
      </c>
      <c r="J144" s="0" t="n">
        <f aca="false">_xlfn.NORM.DIST(H144,$E$271,$E$272,1)</f>
        <v>0.543592697239564</v>
      </c>
    </row>
    <row r="145" customFormat="false" ht="12.8" hidden="false" customHeight="false" outlineLevel="0" collapsed="false">
      <c r="A145" s="0" t="n">
        <f aca="false">'Исходные данные'!A145</f>
        <v>0.59413</v>
      </c>
      <c r="B145" s="0" t="n">
        <f aca="false">'Исходные данные'!B145</f>
        <v>74.3659</v>
      </c>
      <c r="H145" s="0" t="n">
        <f aca="false">H144+6*$E$272/274</f>
        <v>0.550620726191163</v>
      </c>
      <c r="I145" s="0" t="n">
        <f aca="false">_xlfn.NORM.DIST(H145,$E$271,$E$272,0)</f>
        <v>1.37766347599425</v>
      </c>
      <c r="J145" s="0" t="n">
        <f aca="false">_xlfn.NORM.DIST(H145,$E$271,$E$272,1)</f>
        <v>0.552265359142096</v>
      </c>
    </row>
    <row r="146" customFormat="false" ht="12.8" hidden="false" customHeight="false" outlineLevel="0" collapsed="false">
      <c r="A146" s="0" t="n">
        <f aca="false">'Исходные данные'!A146</f>
        <v>0.660088</v>
      </c>
      <c r="B146" s="0" t="n">
        <f aca="false">'Исходные данные'!B146</f>
        <v>75.026</v>
      </c>
      <c r="H146" s="0" t="n">
        <f aca="false">H145+6*$E$272/274</f>
        <v>0.55690737359272</v>
      </c>
      <c r="I146" s="0" t="n">
        <f aca="false">_xlfn.NORM.DIST(H146,$E$271,$E$272,0)</f>
        <v>1.37337620200852</v>
      </c>
      <c r="J146" s="0" t="n">
        <f aca="false">_xlfn.NORM.DIST(H146,$E$271,$E$272,1)</f>
        <v>0.560913105917294</v>
      </c>
    </row>
    <row r="147" customFormat="false" ht="12.8" hidden="false" customHeight="false" outlineLevel="0" collapsed="false">
      <c r="A147" s="0" t="n">
        <f aca="false">'Исходные данные'!A147</f>
        <v>0.681683</v>
      </c>
      <c r="B147" s="0" t="n">
        <f aca="false">'Исходные данные'!B147</f>
        <v>75.7077</v>
      </c>
      <c r="H147" s="0" t="n">
        <f aca="false">H146+6*$E$272/274</f>
        <v>0.563194020994278</v>
      </c>
      <c r="I147" s="0" t="n">
        <f aca="false">_xlfn.NORM.DIST(H147,$E$271,$E$272,0)</f>
        <v>1.36844592351742</v>
      </c>
      <c r="J147" s="0" t="n">
        <f aca="false">_xlfn.NORM.DIST(H147,$E$271,$E$272,1)</f>
        <v>0.569531875494928</v>
      </c>
    </row>
    <row r="148" customFormat="false" ht="12.8" hidden="false" customHeight="false" outlineLevel="0" collapsed="false">
      <c r="A148" s="0" t="n">
        <f aca="false">'Исходные данные'!A148</f>
        <v>0.98202</v>
      </c>
      <c r="B148" s="0" t="n">
        <f aca="false">'Исходные данные'!B148</f>
        <v>76.6897</v>
      </c>
      <c r="H148" s="0" t="n">
        <f aca="false">H147+6*$E$272/274</f>
        <v>0.569480668395836</v>
      </c>
      <c r="I148" s="0" t="n">
        <f aca="false">_xlfn.NORM.DIST(H148,$E$271,$E$272,0)</f>
        <v>1.3628796674982</v>
      </c>
      <c r="J148" s="0" t="n">
        <f aca="false">_xlfn.NORM.DIST(H148,$E$271,$E$272,1)</f>
        <v>0.578117647151738</v>
      </c>
    </row>
    <row r="149" customFormat="false" ht="12.8" hidden="false" customHeight="false" outlineLevel="0" collapsed="false">
      <c r="A149" s="0" t="n">
        <f aca="false">'Исходные данные'!A149</f>
        <v>0.658111</v>
      </c>
      <c r="B149" s="0" t="n">
        <f aca="false">'Исходные данные'!B149</f>
        <v>77.3478</v>
      </c>
      <c r="H149" s="0" t="n">
        <f aca="false">H148+6*$E$272/274</f>
        <v>0.575767315797393</v>
      </c>
      <c r="I149" s="0" t="n">
        <f aca="false">_xlfn.NORM.DIST(H149,$E$271,$E$272,0)</f>
        <v>1.35668534689956</v>
      </c>
      <c r="J149" s="0" t="n">
        <f aca="false">_xlfn.NORM.DIST(H149,$E$271,$E$272,1)</f>
        <v>0.586666447134775</v>
      </c>
    </row>
    <row r="150" customFormat="false" ht="12.8" hidden="false" customHeight="false" outlineLevel="0" collapsed="false">
      <c r="A150" s="0" t="n">
        <f aca="false">'Исходные данные'!A150</f>
        <v>0.426784</v>
      </c>
      <c r="B150" s="0" t="n">
        <f aca="false">'Исходные данные'!B150</f>
        <v>77.7746</v>
      </c>
      <c r="H150" s="0" t="n">
        <f aca="false">H149+6*$E$272/274</f>
        <v>0.582053963198951</v>
      </c>
      <c r="I150" s="0" t="n">
        <f aca="false">_xlfn.NORM.DIST(H150,$E$271,$E$272,0)</f>
        <v>1.3498717418973</v>
      </c>
      <c r="J150" s="0" t="n">
        <f aca="false">_xlfn.NORM.DIST(H150,$E$271,$E$272,1)</f>
        <v>0.595174354173333</v>
      </c>
    </row>
    <row r="151" customFormat="false" ht="12.8" hidden="false" customHeight="false" outlineLevel="0" collapsed="false">
      <c r="A151" s="0" t="n">
        <f aca="false">'Исходные данные'!A151</f>
        <v>0.108516</v>
      </c>
      <c r="B151" s="0" t="n">
        <f aca="false">'Исходные данные'!B151</f>
        <v>77.8831</v>
      </c>
      <c r="H151" s="0" t="n">
        <f aca="false">H150+6*$E$272/274</f>
        <v>0.588340610600508</v>
      </c>
      <c r="I151" s="0" t="n">
        <f aca="false">_xlfn.NORM.DIST(H151,$E$271,$E$272,0)</f>
        <v>1.34244847915682</v>
      </c>
      <c r="J151" s="0" t="n">
        <f aca="false">_xlfn.NORM.DIST(H151,$E$271,$E$272,1)</f>
        <v>0.603637504866738</v>
      </c>
    </row>
    <row r="152" customFormat="false" ht="12.8" hidden="false" customHeight="false" outlineLevel="0" collapsed="false">
      <c r="A152" s="0" t="n">
        <f aca="false">'Исходные данные'!A152</f>
        <v>0.620797</v>
      </c>
      <c r="B152" s="0" t="n">
        <f aca="false">'Исходные данные'!B152</f>
        <v>78.5039</v>
      </c>
      <c r="H152" s="0" t="n">
        <f aca="false">H151+6*$E$272/274</f>
        <v>0.594627258002066</v>
      </c>
      <c r="I152" s="0" t="n">
        <f aca="false">_xlfn.NORM.DIST(H152,$E$271,$E$272,0)</f>
        <v>1.33442600917112</v>
      </c>
      <c r="J152" s="0" t="n">
        <f aca="false">_xlfn.NORM.DIST(H152,$E$271,$E$272,1)</f>
        <v>0.612052098935693</v>
      </c>
    </row>
    <row r="153" customFormat="false" ht="12.8" hidden="false" customHeight="false" outlineLevel="0" collapsed="false">
      <c r="A153" s="0" t="n">
        <f aca="false">'Исходные данные'!A153</f>
        <v>0.162213</v>
      </c>
      <c r="B153" s="0" t="n">
        <f aca="false">'Исходные данные'!B153</f>
        <v>78.6661</v>
      </c>
      <c r="H153" s="0" t="n">
        <f aca="false">H152+6*$E$272/274</f>
        <v>0.600913905403624</v>
      </c>
      <c r="I153" s="0" t="n">
        <f aca="false">_xlfn.NORM.DIST(H153,$E$271,$E$272,0)</f>
        <v>1.32581558174875</v>
      </c>
      <c r="J153" s="0" t="n">
        <f aca="false">_xlfn.NORM.DIST(H153,$E$271,$E$272,1)</f>
        <v>0.620414404325282</v>
      </c>
    </row>
    <row r="154" customFormat="false" ht="12.8" hidden="false" customHeight="false" outlineLevel="0" collapsed="false">
      <c r="A154" s="0" t="n">
        <f aca="false">'Исходные данные'!A154</f>
        <v>0.649773</v>
      </c>
      <c r="B154" s="0" t="n">
        <f aca="false">'Исходные данные'!B154</f>
        <v>79.3159</v>
      </c>
      <c r="H154" s="0" t="n">
        <f aca="false">H153+6*$E$272/274</f>
        <v>0.607200552805181</v>
      </c>
      <c r="I154" s="0" t="n">
        <f aca="false">_xlfn.NORM.DIST(H154,$E$271,$E$272,0)</f>
        <v>1.31662921973238</v>
      </c>
      <c r="J154" s="0" t="n">
        <f aca="false">_xlfn.NORM.DIST(H154,$E$271,$E$272,1)</f>
        <v>0.628720762148287</v>
      </c>
    </row>
    <row r="155" customFormat="false" ht="12.8" hidden="false" customHeight="false" outlineLevel="0" collapsed="false">
      <c r="A155" s="0" t="n">
        <f aca="false">'Исходные данные'!A155</f>
        <v>0.952433</v>
      </c>
      <c r="B155" s="0" t="n">
        <f aca="false">'Исходные данные'!B155</f>
        <v>80.2683</v>
      </c>
      <c r="H155" s="0" t="n">
        <f aca="false">H154+6*$E$272/274</f>
        <v>0.613487200206739</v>
      </c>
      <c r="I155" s="0" t="n">
        <f aca="false">_xlfn.NORM.DIST(H155,$E$271,$E$272,0)</f>
        <v>1.3068796910338</v>
      </c>
      <c r="J155" s="0" t="n">
        <f aca="false">_xlfn.NORM.DIST(H155,$E$271,$E$272,1)</f>
        <v>0.636967591457928</v>
      </c>
    </row>
    <row r="156" customFormat="false" ht="12.8" hidden="false" customHeight="false" outlineLevel="0" collapsed="false">
      <c r="A156" s="0" t="n">
        <f aca="false">'Исходные данные'!A156</f>
        <v>0.231368</v>
      </c>
      <c r="B156" s="0" t="n">
        <f aca="false">'Исходные данные'!B156</f>
        <v>80.4997</v>
      </c>
      <c r="H156" s="0" t="n">
        <f aca="false">H155+6*$E$272/274</f>
        <v>0.619773847608296</v>
      </c>
      <c r="I156" s="0" t="n">
        <f aca="false">_xlfn.NORM.DIST(H156,$E$271,$E$272,0)</f>
        <v>1.29658047907643</v>
      </c>
      <c r="J156" s="0" t="n">
        <f aca="false">_xlfn.NORM.DIST(H156,$E$271,$E$272,1)</f>
        <v>0.64515139383976</v>
      </c>
    </row>
    <row r="157" customFormat="false" ht="12.8" hidden="false" customHeight="false" outlineLevel="0" collapsed="false">
      <c r="A157" s="0" t="n">
        <f aca="false">'Исходные данные'!A157</f>
        <v>0.582923</v>
      </c>
      <c r="B157" s="0" t="n">
        <f aca="false">'Исходные данные'!B157</f>
        <v>81.0826</v>
      </c>
      <c r="H157" s="0" t="n">
        <f aca="false">H156+6*$E$272/274</f>
        <v>0.626060495009854</v>
      </c>
      <c r="I157" s="0" t="n">
        <f aca="false">_xlfn.NORM.DIST(H157,$E$271,$E$272,0)</f>
        <v>1.285745751741</v>
      </c>
      <c r="J157" s="0" t="n">
        <f aca="false">_xlfn.NORM.DIST(H157,$E$271,$E$272,1)</f>
        <v>0.653268757812979</v>
      </c>
    </row>
    <row r="158" customFormat="false" ht="12.8" hidden="false" customHeight="false" outlineLevel="0" collapsed="false">
      <c r="A158" s="0" t="n">
        <f aca="false">'Исходные данные'!A158</f>
        <v>0.00935459</v>
      </c>
      <c r="B158" s="0" t="n">
        <f aca="false">'Исходные данные'!B158</f>
        <v>81.092</v>
      </c>
      <c r="H158" s="0" t="n">
        <f aca="false">H157+6*$E$272/274</f>
        <v>0.632347142411412</v>
      </c>
      <c r="I158" s="0" t="n">
        <f aca="false">_xlfn.NORM.DIST(H158,$E$271,$E$272,0)</f>
        <v>1.27439032891447</v>
      </c>
      <c r="J158" s="0" t="n">
        <f aca="false">_xlfn.NORM.DIST(H158,$E$271,$E$272,1)</f>
        <v>0.66131636303207</v>
      </c>
    </row>
    <row r="159" customFormat="false" ht="12.8" hidden="false" customHeight="false" outlineLevel="0" collapsed="false">
      <c r="A159" s="0" t="n">
        <f aca="false">'Исходные данные'!A159</f>
        <v>0.562379</v>
      </c>
      <c r="B159" s="0" t="n">
        <f aca="false">'Исходные данные'!B159</f>
        <v>81.6543</v>
      </c>
      <c r="H159" s="0" t="n">
        <f aca="false">H158+6*$E$272/274</f>
        <v>0.638633789812969</v>
      </c>
      <c r="I159" s="0" t="n">
        <f aca="false">_xlfn.NORM.DIST(H159,$E$271,$E$272,0)</f>
        <v>1.26252964874626</v>
      </c>
      <c r="J159" s="0" t="n">
        <f aca="false">_xlfn.NORM.DIST(H159,$E$271,$E$272,1)</f>
        <v>0.669290984280319</v>
      </c>
    </row>
    <row r="160" customFormat="false" ht="12.8" hidden="false" customHeight="false" outlineLevel="0" collapsed="false">
      <c r="A160" s="0" t="n">
        <f aca="false">'Исходные данные'!A160</f>
        <v>0.683813</v>
      </c>
      <c r="B160" s="0" t="n">
        <f aca="false">'Исходные данные'!B160</f>
        <v>82.3382</v>
      </c>
      <c r="H160" s="0" t="n">
        <f aca="false">H159+6*$E$272/274</f>
        <v>0.644920437214527</v>
      </c>
      <c r="I160" s="0" t="n">
        <f aca="false">_xlfn.NORM.DIST(H160,$E$271,$E$272,0)</f>
        <v>1.25017973271899</v>
      </c>
      <c r="J160" s="0" t="n">
        <f aca="false">_xlfn.NORM.DIST(H160,$E$271,$E$272,1)</f>
        <v>0.67718949524741</v>
      </c>
    </row>
    <row r="161" customFormat="false" ht="12.8" hidden="false" customHeight="false" outlineLevel="0" collapsed="false">
      <c r="A161" s="0" t="n">
        <f aca="false">'Исходные данные'!A161</f>
        <v>0.779336</v>
      </c>
      <c r="B161" s="0" t="n">
        <f aca="false">'Исходные данные'!B161</f>
        <v>83.1175</v>
      </c>
      <c r="H161" s="0" t="n">
        <f aca="false">H160+6*$E$272/274</f>
        <v>0.651207084616084</v>
      </c>
      <c r="I161" s="0" t="n">
        <f aca="false">_xlfn.NORM.DIST(H161,$E$271,$E$272,0)</f>
        <v>1.23735714964443</v>
      </c>
      <c r="J161" s="0" t="n">
        <f aca="false">_xlfn.NORM.DIST(H161,$E$271,$E$272,1)</f>
        <v>0.685008872083997</v>
      </c>
    </row>
    <row r="162" customFormat="false" ht="12.8" hidden="false" customHeight="false" outlineLevel="0" collapsed="false">
      <c r="A162" s="0" t="n">
        <f aca="false">'Исходные данные'!A162</f>
        <v>0.355259</v>
      </c>
      <c r="B162" s="0" t="n">
        <f aca="false">'Исходные данные'!B162</f>
        <v>83.4727</v>
      </c>
      <c r="H162" s="0" t="n">
        <f aca="false">H161+6*$E$272/274</f>
        <v>0.657493732017642</v>
      </c>
      <c r="I162" s="0" t="n">
        <f aca="false">_xlfn.NORM.DIST(H162,$E$271,$E$272,0)</f>
        <v>1.22407897869752</v>
      </c>
      <c r="J162" s="0" t="n">
        <f aca="false">_xlfn.NORM.DIST(H162,$E$271,$E$272,1)</f>
        <v>0.692746196726846</v>
      </c>
    </row>
    <row r="163" customFormat="false" ht="12.8" hidden="false" customHeight="false" outlineLevel="0" collapsed="false">
      <c r="A163" s="0" t="n">
        <f aca="false">'Исходные данные'!A163</f>
        <v>0.899256</v>
      </c>
      <c r="B163" s="0" t="n">
        <f aca="false">'Исходные данные'!B163</f>
        <v>84.372</v>
      </c>
      <c r="H163" s="0" t="n">
        <f aca="false">H162+6*$E$272/274</f>
        <v>0.6637803794192</v>
      </c>
      <c r="I163" s="0" t="n">
        <f aca="false">_xlfn.NORM.DIST(H163,$E$271,$E$272,0)</f>
        <v>1.21036277160383</v>
      </c>
      <c r="J163" s="0" t="n">
        <f aca="false">_xlfn.NORM.DIST(H163,$E$271,$E$272,1)</f>
        <v>0.700398659988867</v>
      </c>
    </row>
    <row r="164" customFormat="false" ht="12.8" hidden="false" customHeight="false" outlineLevel="0" collapsed="false">
      <c r="A164" s="0" t="n">
        <f aca="false">'Исходные данные'!A164</f>
        <v>0.585291</v>
      </c>
      <c r="B164" s="0" t="n">
        <f aca="false">'Исходные данные'!B164</f>
        <v>84.9573</v>
      </c>
      <c r="H164" s="0" t="n">
        <f aca="false">H163+6*$E$272/274</f>
        <v>0.670067026820757</v>
      </c>
      <c r="I164" s="0" t="n">
        <f aca="false">_xlfn.NORM.DIST(H164,$E$271,$E$272,0)</f>
        <v>1.1962265140971</v>
      </c>
      <c r="J164" s="0" t="n">
        <f aca="false">_xlfn.NORM.DIST(H164,$E$271,$E$272,1)</f>
        <v>0.707963564409072</v>
      </c>
    </row>
    <row r="165" customFormat="false" ht="12.8" hidden="false" customHeight="false" outlineLevel="0" collapsed="false">
      <c r="A165" s="0" t="n">
        <f aca="false">'Исходные данные'!A165</f>
        <v>0.610567</v>
      </c>
      <c r="B165" s="0" t="n">
        <f aca="false">'Исходные данные'!B165</f>
        <v>85.5679</v>
      </c>
      <c r="H165" s="0" t="n">
        <f aca="false">H164+6*$E$272/274</f>
        <v>0.676353674222315</v>
      </c>
      <c r="I165" s="0" t="n">
        <f aca="false">_xlfn.NORM.DIST(H165,$E$271,$E$272,0)</f>
        <v>1.18168858676511</v>
      </c>
      <c r="J165" s="0" t="n">
        <f aca="false">_xlfn.NORM.DIST(H165,$E$271,$E$272,1)</f>
        <v>0.715438326858244</v>
      </c>
    </row>
    <row r="166" customFormat="false" ht="12.8" hidden="false" customHeight="false" outlineLevel="0" collapsed="false">
      <c r="A166" s="0" t="n">
        <f aca="false">'Исходные данные'!A166</f>
        <v>0.0559395</v>
      </c>
      <c r="B166" s="0" t="n">
        <f aca="false">'Исходные данные'!B166</f>
        <v>85.6238</v>
      </c>
      <c r="H166" s="0" t="n">
        <f aca="false">H165+6*$E$272/274</f>
        <v>0.682640321623872</v>
      </c>
      <c r="I166" s="0" t="n">
        <f aca="false">_xlfn.NORM.DIST(H166,$E$271,$E$272,0)</f>
        <v>1.16676772540266</v>
      </c>
      <c r="J166" s="0" t="n">
        <f aca="false">_xlfn.NORM.DIST(H166,$E$271,$E$272,1)</f>
        <v>0.722820480896852</v>
      </c>
    </row>
    <row r="167" customFormat="false" ht="12.8" hidden="false" customHeight="false" outlineLevel="0" collapsed="false">
      <c r="A167" s="0" t="n">
        <f aca="false">'Исходные данные'!A167</f>
        <v>0.0841219</v>
      </c>
      <c r="B167" s="0" t="n">
        <f aca="false">'Исходные данные'!B167</f>
        <v>85.7079</v>
      </c>
      <c r="H167" s="0" t="n">
        <f aca="false">H166+6*$E$272/274</f>
        <v>0.68892696902543</v>
      </c>
      <c r="I167" s="0" t="n">
        <f aca="false">_xlfn.NORM.DIST(H167,$E$271,$E$272,0)</f>
        <v>1.15148298099065</v>
      </c>
      <c r="J167" s="0" t="n">
        <f aca="false">_xlfn.NORM.DIST(H167,$E$271,$E$272,1)</f>
        <v>0.730107678882478</v>
      </c>
    </row>
    <row r="168" customFormat="false" ht="12.8" hidden="false" customHeight="false" outlineLevel="0" collapsed="false">
      <c r="A168" s="0" t="n">
        <f aca="false">'Исходные данные'!A168</f>
        <v>0.516238</v>
      </c>
      <c r="B168" s="0" t="n">
        <f aca="false">'Исходные данные'!B168</f>
        <v>86.2242</v>
      </c>
      <c r="H168" s="0" t="n">
        <f aca="false">H167+6*$E$272/274</f>
        <v>0.695213616426988</v>
      </c>
      <c r="I168" s="0" t="n">
        <f aca="false">_xlfn.NORM.DIST(H168,$E$271,$E$272,0)</f>
        <v>1.13585367942028</v>
      </c>
      <c r="J168" s="0" t="n">
        <f aca="false">_xlfn.NORM.DIST(H168,$E$271,$E$272,1)</f>
        <v>0.737297693824782</v>
      </c>
    </row>
    <row r="169" customFormat="false" ht="12.8" hidden="false" customHeight="false" outlineLevel="0" collapsed="false">
      <c r="A169" s="0" t="n">
        <f aca="false">'Исходные данные'!A169</f>
        <v>0.53146</v>
      </c>
      <c r="B169" s="0" t="n">
        <f aca="false">'Исходные данные'!B169</f>
        <v>86.7556</v>
      </c>
      <c r="H169" s="0" t="n">
        <f aca="false">H168+6*$E$272/274</f>
        <v>0.701500263828545</v>
      </c>
      <c r="I169" s="0" t="n">
        <f aca="false">_xlfn.NORM.DIST(H169,$E$271,$E$272,0)</f>
        <v>1.11989938108069</v>
      </c>
      <c r="J169" s="0" t="n">
        <f aca="false">_xlfn.NORM.DIST(H169,$E$271,$E$272,1)</f>
        <v>0.744388420986779</v>
      </c>
    </row>
    <row r="170" customFormat="false" ht="12.8" hidden="false" customHeight="false" outlineLevel="0" collapsed="false">
      <c r="A170" s="0" t="n">
        <f aca="false">'Исходные данные'!A170</f>
        <v>0.146102</v>
      </c>
      <c r="B170" s="0" t="n">
        <f aca="false">'Исходные данные'!B170</f>
        <v>86.9017</v>
      </c>
      <c r="H170" s="0" t="n">
        <f aca="false">H169+6*$E$272/274</f>
        <v>0.707786911230103</v>
      </c>
      <c r="I170" s="0" t="n">
        <f aca="false">_xlfn.NORM.DIST(H170,$E$271,$E$272,0)</f>
        <v>1.10363984042716</v>
      </c>
      <c r="J170" s="0" t="n">
        <f aca="false">_xlfn.NORM.DIST(H170,$E$271,$E$272,1)</f>
        <v>0.751377879231933</v>
      </c>
    </row>
    <row r="171" customFormat="false" ht="12.8" hidden="false" customHeight="false" outlineLevel="0" collapsed="false">
      <c r="A171" s="0" t="n">
        <f aca="false">'Исходные данные'!A171</f>
        <v>0.572873</v>
      </c>
      <c r="B171" s="0" t="n">
        <f aca="false">'Исходные данные'!B171</f>
        <v>87.4746</v>
      </c>
      <c r="H171" s="0" t="n">
        <f aca="false">H170+6*$E$272/274</f>
        <v>0.71407355863166</v>
      </c>
      <c r="I171" s="0" t="n">
        <f aca="false">_xlfn.NORM.DIST(H171,$E$271,$E$272,0)</f>
        <v>1.08709496564581</v>
      </c>
      <c r="J171" s="0" t="n">
        <f aca="false">_xlfn.NORM.DIST(H171,$E$271,$E$272,1)</f>
        <v>0.758264212117316</v>
      </c>
    </row>
    <row r="172" customFormat="false" ht="12.8" hidden="false" customHeight="false" outlineLevel="0" collapsed="false">
      <c r="A172" s="0" t="n">
        <f aca="false">'Исходные данные'!A172</f>
        <v>0.580506</v>
      </c>
      <c r="B172" s="0" t="n">
        <f aca="false">'Исходные данные'!B172</f>
        <v>88.0551</v>
      </c>
      <c r="H172" s="0" t="n">
        <f aca="false">H171+6*$E$272/274</f>
        <v>0.720360206033218</v>
      </c>
      <c r="I172" s="0" t="n">
        <f aca="false">_xlfn.NORM.DIST(H172,$E$271,$E$272,0)</f>
        <v>1.0702847785283</v>
      </c>
      <c r="J172" s="0" t="n">
        <f aca="false">_xlfn.NORM.DIST(H172,$E$271,$E$272,1)</f>
        <v>0.765045688733792</v>
      </c>
    </row>
    <row r="173" customFormat="false" ht="12.8" hidden="false" customHeight="false" outlineLevel="0" collapsed="false">
      <c r="A173" s="0" t="n">
        <f aca="false">'Исходные данные'!A173</f>
        <v>0.517529</v>
      </c>
      <c r="B173" s="0" t="n">
        <f aca="false">'Исходные данные'!B173</f>
        <v>88.5726</v>
      </c>
      <c r="H173" s="0" t="n">
        <f aca="false">H172+6*$E$272/274</f>
        <v>0.726646853434776</v>
      </c>
      <c r="I173" s="0" t="n">
        <f aca="false">_xlfn.NORM.DIST(H173,$E$271,$E$272,0)</f>
        <v>1.05322937466845</v>
      </c>
      <c r="J173" s="0" t="n">
        <f aca="false">_xlfn.NORM.DIST(H173,$E$271,$E$272,1)</f>
        <v>0.771720704294906</v>
      </c>
    </row>
    <row r="174" customFormat="false" ht="12.8" hidden="false" customHeight="false" outlineLevel="0" collapsed="false">
      <c r="A174" s="0" t="n">
        <f aca="false">'Исходные данные'!A174</f>
        <v>0.777837</v>
      </c>
      <c r="B174" s="0" t="n">
        <f aca="false">'Исходные данные'!B174</f>
        <v>89.3505</v>
      </c>
      <c r="H174" s="0" t="n">
        <f aca="false">H173+6*$E$272/274</f>
        <v>0.732933500836333</v>
      </c>
      <c r="I174" s="0" t="n">
        <f aca="false">_xlfn.NORM.DIST(H174,$E$271,$E$272,0)</f>
        <v>1.03594888408908</v>
      </c>
      <c r="J174" s="0" t="n">
        <f aca="false">_xlfn.NORM.DIST(H174,$E$271,$E$272,1)</f>
        <v>0.778287780476832</v>
      </c>
    </row>
    <row r="175" customFormat="false" ht="12.8" hidden="false" customHeight="false" outlineLevel="0" collapsed="false">
      <c r="A175" s="0" t="n">
        <f aca="false">'Исходные данные'!A175</f>
        <v>0.126983</v>
      </c>
      <c r="B175" s="0" t="n">
        <f aca="false">'Исходные данные'!B175</f>
        <v>89.4774</v>
      </c>
      <c r="H175" s="0" t="n">
        <f aca="false">H174+6*$E$272/274</f>
        <v>0.739220148237891</v>
      </c>
      <c r="I175" s="0" t="n">
        <f aca="false">_xlfn.NORM.DIST(H175,$E$271,$E$272,0)</f>
        <v>1.01846343240523</v>
      </c>
      <c r="J175" s="0" t="n">
        <f aca="false">_xlfn.NORM.DIST(H175,$E$271,$E$272,1)</f>
        <v>0.784745565512434</v>
      </c>
    </row>
    <row r="176" customFormat="false" ht="12.8" hidden="false" customHeight="false" outlineLevel="0" collapsed="false">
      <c r="A176" s="0" t="n">
        <f aca="false">'Исходные данные'!A176</f>
        <v>0.200816</v>
      </c>
      <c r="B176" s="0" t="n">
        <f aca="false">'Исходные данные'!B176</f>
        <v>89.6783</v>
      </c>
      <c r="H176" s="0" t="n">
        <f aca="false">H175+6*$E$272/274</f>
        <v>0.745506795639448</v>
      </c>
      <c r="I176" s="0" t="n">
        <f aca="false">_xlfn.NORM.DIST(H176,$E$271,$E$272,0)</f>
        <v>1.00079310262557</v>
      </c>
      <c r="J176" s="0" t="n">
        <f aca="false">_xlfn.NORM.DIST(H176,$E$271,$E$272,1)</f>
        <v>0.791092834043122</v>
      </c>
    </row>
    <row r="177" customFormat="false" ht="12.8" hidden="false" customHeight="false" outlineLevel="0" collapsed="false">
      <c r="A177" s="0" t="n">
        <f aca="false">'Исходные данные'!A177</f>
        <v>0.282026</v>
      </c>
      <c r="B177" s="0" t="n">
        <f aca="false">'Исходные данные'!B177</f>
        <v>89.9603</v>
      </c>
      <c r="H177" s="0" t="n">
        <f aca="false">H176+6*$E$272/274</f>
        <v>0.751793443041006</v>
      </c>
      <c r="I177" s="0" t="n">
        <f aca="false">_xlfn.NORM.DIST(H177,$E$271,$E$272,0)</f>
        <v>0.982957897690855</v>
      </c>
      <c r="J177" s="0" t="n">
        <f aca="false">_xlfn.NORM.DIST(H177,$E$271,$E$272,1)</f>
        <v>0.79732848673284</v>
      </c>
    </row>
    <row r="178" customFormat="false" ht="12.8" hidden="false" customHeight="false" outlineLevel="0" collapsed="false">
      <c r="A178" s="0" t="n">
        <f aca="false">'Исходные данные'!A178</f>
        <v>0.388129</v>
      </c>
      <c r="B178" s="0" t="n">
        <f aca="false">'Исходные данные'!B178</f>
        <v>90.3484</v>
      </c>
      <c r="H178" s="0" t="n">
        <f aca="false">H177+6*$E$272/274</f>
        <v>0.758080090442564</v>
      </c>
      <c r="I178" s="0" t="n">
        <f aca="false">_xlfn.NORM.DIST(H178,$E$271,$E$272,0)</f>
        <v>0.964977703843472</v>
      </c>
      <c r="J178" s="0" t="n">
        <f aca="false">_xlfn.NORM.DIST(H178,$E$271,$E$272,1)</f>
        <v>0.803451549649104</v>
      </c>
    </row>
    <row r="179" customFormat="false" ht="12.8" hidden="false" customHeight="false" outlineLevel="0" collapsed="false">
      <c r="A179" s="0" t="n">
        <f aca="false">'Исходные данные'!A179</f>
        <v>0.617838</v>
      </c>
      <c r="B179" s="0" t="n">
        <f aca="false">'Исходные данные'!B179</f>
        <v>90.9663</v>
      </c>
      <c r="H179" s="0" t="n">
        <f aca="false">H178+6*$E$272/274</f>
        <v>0.764366737844121</v>
      </c>
      <c r="I179" s="0" t="n">
        <f aca="false">_xlfn.NORM.DIST(H179,$E$271,$E$272,0)</f>
        <v>0.946872254918337</v>
      </c>
      <c r="J179" s="0" t="n">
        <f aca="false">_xlfn.NORM.DIST(H179,$E$271,$E$272,1)</f>
        <v>0.809461173416607</v>
      </c>
    </row>
    <row r="180" customFormat="false" ht="12.8" hidden="false" customHeight="false" outlineLevel="0" collapsed="false">
      <c r="A180" s="0" t="n">
        <f aca="false">'Исходные данные'!A180</f>
        <v>0.73772</v>
      </c>
      <c r="B180" s="0" t="n">
        <f aca="false">'Исходные данные'!B180</f>
        <v>91.704</v>
      </c>
      <c r="H180" s="0" t="n">
        <f aca="false">H179+6*$E$272/274</f>
        <v>0.770653385245679</v>
      </c>
      <c r="I180" s="0" t="n">
        <f aca="false">_xlfn.NORM.DIST(H180,$E$271,$E$272,0)</f>
        <v>0.928661097640328</v>
      </c>
      <c r="J180" s="0" t="n">
        <f aca="false">_xlfn.NORM.DIST(H180,$E$271,$E$272,1)</f>
        <v>0.815356632149463</v>
      </c>
    </row>
    <row r="181" customFormat="false" ht="12.8" hidden="false" customHeight="false" outlineLevel="0" collapsed="false">
      <c r="A181" s="0" t="n">
        <f aca="false">'Исходные данные'!A181</f>
        <v>0.984708</v>
      </c>
      <c r="B181" s="0" t="n">
        <f aca="false">'Исходные данные'!B181</f>
        <v>92.6887</v>
      </c>
      <c r="H181" s="0" t="n">
        <f aca="false">H180+6*$E$272/274</f>
        <v>0.776940032647236</v>
      </c>
      <c r="I181" s="0" t="n">
        <f aca="false">_xlfn.NORM.DIST(H181,$E$271,$E$272,0)</f>
        <v>0.910363558008807</v>
      </c>
      <c r="J181" s="0" t="n">
        <f aca="false">_xlfn.NORM.DIST(H181,$E$271,$E$272,1)</f>
        <v>0.821137322168652</v>
      </c>
    </row>
    <row r="182" customFormat="false" ht="12.8" hidden="false" customHeight="false" outlineLevel="0" collapsed="false">
      <c r="A182" s="0" t="n">
        <f aca="false">'Исходные данные'!A182</f>
        <v>0.1668</v>
      </c>
      <c r="B182" s="0" t="n">
        <f aca="false">'Исходные данные'!B182</f>
        <v>92.8555</v>
      </c>
      <c r="H182" s="0" t="n">
        <f aca="false">H181+6*$E$272/274</f>
        <v>0.783226680048794</v>
      </c>
      <c r="I182" s="0" t="n">
        <f aca="false">_xlfn.NORM.DIST(H182,$E$271,$E$272,0)</f>
        <v>0.891998708844556</v>
      </c>
      <c r="J182" s="0" t="n">
        <f aca="false">_xlfn.NORM.DIST(H182,$E$271,$E$272,1)</f>
        <v>0.826802760511764</v>
      </c>
    </row>
    <row r="183" customFormat="false" ht="12.8" hidden="false" customHeight="false" outlineLevel="0" collapsed="false">
      <c r="A183" s="0" t="n">
        <f aca="false">'Исходные данные'!A183</f>
        <v>0.847617</v>
      </c>
      <c r="B183" s="0" t="n">
        <f aca="false">'Исходные данные'!B183</f>
        <v>93.7031</v>
      </c>
      <c r="H183" s="0" t="n">
        <f aca="false">H182+6*$E$272/274</f>
        <v>0.789513327450352</v>
      </c>
      <c r="I183" s="0" t="n">
        <f aca="false">_xlfn.NORM.DIST(H183,$E$271,$E$272,0)</f>
        <v>0.873585338569214</v>
      </c>
      <c r="J183" s="0" t="n">
        <f aca="false">_xlfn.NORM.DIST(H183,$E$271,$E$272,1)</f>
        <v>0.832352583242548</v>
      </c>
    </row>
    <row r="184" customFormat="false" ht="12.8" hidden="false" customHeight="false" outlineLevel="0" collapsed="false">
      <c r="A184" s="0" t="n">
        <f aca="false">'Исходные данные'!A184</f>
        <v>0.173706</v>
      </c>
      <c r="B184" s="0" t="n">
        <f aca="false">'Исходные данные'!B184</f>
        <v>93.8768</v>
      </c>
      <c r="H184" s="0" t="n">
        <f aca="false">H183+6*$E$272/274</f>
        <v>0.795799974851909</v>
      </c>
      <c r="I184" s="0" t="n">
        <f aca="false">_xlfn.NORM.DIST(H184,$E$271,$E$272,0)</f>
        <v>0.855141921281822</v>
      </c>
      <c r="J184" s="0" t="n">
        <f aca="false">_xlfn.NORM.DIST(H184,$E$271,$E$272,1)</f>
        <v>0.837786543568247</v>
      </c>
    </row>
    <row r="185" customFormat="false" ht="12.8" hidden="false" customHeight="false" outlineLevel="0" collapsed="false">
      <c r="A185" s="0" t="n">
        <f aca="false">'Исходные данные'!A185</f>
        <v>0.350287</v>
      </c>
      <c r="B185" s="0" t="n">
        <f aca="false">'Исходные данные'!B185</f>
        <v>94.2271</v>
      </c>
      <c r="H185" s="0" t="n">
        <f aca="false">H184+6*$E$272/274</f>
        <v>0.802086622253467</v>
      </c>
      <c r="I185" s="0" t="n">
        <f aca="false">_xlfn.NORM.DIST(H185,$E$271,$E$272,0)</f>
        <v>0.836686588191496</v>
      </c>
      <c r="J185" s="0" t="n">
        <f aca="false">_xlfn.NORM.DIST(H185,$E$271,$E$272,1)</f>
        <v>0.843104509773037</v>
      </c>
    </row>
    <row r="186" customFormat="false" ht="12.8" hidden="false" customHeight="false" outlineLevel="0" collapsed="false">
      <c r="A186" s="0" t="n">
        <f aca="false">'Исходные данные'!A186</f>
        <v>0.227376</v>
      </c>
      <c r="B186" s="0" t="n">
        <f aca="false">'Исходные данные'!B186</f>
        <v>94.4545</v>
      </c>
      <c r="H186" s="0" t="n">
        <f aca="false">H185+6*$E$272/274</f>
        <v>0.808373269655024</v>
      </c>
      <c r="I186" s="0" t="n">
        <f aca="false">_xlfn.NORM.DIST(H186,$E$271,$E$272,0)</f>
        <v>0.818237100459524</v>
      </c>
      <c r="J186" s="0" t="n">
        <f aca="false">_xlfn.NORM.DIST(H186,$E$271,$E$272,1)</f>
        <v>0.848306462976283</v>
      </c>
    </row>
    <row r="187" customFormat="false" ht="12.8" hidden="false" customHeight="false" outlineLevel="0" collapsed="false">
      <c r="A187" s="0" t="n">
        <f aca="false">'Исходные данные'!A187</f>
        <v>0.406313</v>
      </c>
      <c r="B187" s="0" t="n">
        <f aca="false">'Исходные данные'!B187</f>
        <v>94.8608</v>
      </c>
      <c r="H187" s="0" t="n">
        <f aca="false">H186+6*$E$272/274</f>
        <v>0.814659917056582</v>
      </c>
      <c r="I187" s="0" t="n">
        <f aca="false">_xlfn.NORM.DIST(H187,$E$271,$E$272,0)</f>
        <v>0.79981082349843</v>
      </c>
      <c r="J187" s="0" t="n">
        <f aca="false">_xlfn.NORM.DIST(H187,$E$271,$E$272,1)</f>
        <v>0.853392494724618</v>
      </c>
    </row>
    <row r="188" customFormat="false" ht="12.8" hidden="false" customHeight="false" outlineLevel="0" collapsed="false">
      <c r="A188" s="0" t="n">
        <f aca="false">'Исходные данные'!A188</f>
        <v>0.952343</v>
      </c>
      <c r="B188" s="0" t="n">
        <f aca="false">'Исходные данные'!B188</f>
        <v>95.8131</v>
      </c>
      <c r="H188" s="0" t="n">
        <f aca="false">H187+6*$E$272/274</f>
        <v>0.82094656445814</v>
      </c>
      <c r="I188" s="0" t="n">
        <f aca="false">_xlfn.NORM.DIST(H188,$E$271,$E$272,0)</f>
        <v>0.781424702769648</v>
      </c>
      <c r="J188" s="0" t="n">
        <f aca="false">_xlfn.NORM.DIST(H188,$E$271,$E$272,1)</f>
        <v>0.858362804427139</v>
      </c>
    </row>
    <row r="189" customFormat="false" ht="12.8" hidden="false" customHeight="false" outlineLevel="0" collapsed="false">
      <c r="A189" s="0" t="n">
        <f aca="false">'Исходные данные'!A189</f>
        <v>0.919231</v>
      </c>
      <c r="B189" s="0" t="n">
        <f aca="false">'Исходные данные'!B189</f>
        <v>96.7324</v>
      </c>
      <c r="H189" s="0" t="n">
        <f aca="false">H188+6*$E$272/274</f>
        <v>0.827233211859697</v>
      </c>
      <c r="I189" s="0" t="n">
        <f aca="false">_xlfn.NORM.DIST(H189,$E$271,$E$272,0)</f>
        <v>0.763095241115618</v>
      </c>
      <c r="J189" s="0" t="n">
        <f aca="false">_xlfn.NORM.DIST(H189,$E$271,$E$272,1)</f>
        <v>0.863217696643258</v>
      </c>
    </row>
    <row r="190" customFormat="false" ht="12.8" hidden="false" customHeight="false" outlineLevel="0" collapsed="false">
      <c r="A190" s="0" t="n">
        <f aca="false">'Исходные данные'!A190</f>
        <v>0.53102</v>
      </c>
      <c r="B190" s="0" t="n">
        <f aca="false">'Исходные данные'!B190</f>
        <v>97.2634</v>
      </c>
      <c r="H190" s="0" t="n">
        <f aca="false">H189+6*$E$272/274</f>
        <v>0.833519859261255</v>
      </c>
      <c r="I190" s="0" t="n">
        <f aca="false">_xlfn.NORM.DIST(H190,$E$271,$E$272,0)</f>
        <v>0.744838477656178</v>
      </c>
      <c r="J190" s="0" t="n">
        <f aca="false">_xlfn.NORM.DIST(H190,$E$271,$E$272,1)</f>
        <v>0.867957578232947</v>
      </c>
    </row>
    <row r="191" customFormat="false" ht="12.8" hidden="false" customHeight="false" outlineLevel="0" collapsed="false">
      <c r="A191" s="0" t="n">
        <f aca="false">'Исходные данные'!A191</f>
        <v>0.334722</v>
      </c>
      <c r="B191" s="0" t="n">
        <f aca="false">'Исходные данные'!B191</f>
        <v>97.5981</v>
      </c>
      <c r="H191" s="0" t="n">
        <f aca="false">H190+6*$E$272/274</f>
        <v>0.839806506662812</v>
      </c>
      <c r="I191" s="0" t="n">
        <f aca="false">_xlfn.NORM.DIST(H191,$E$271,$E$272,0)</f>
        <v>0.726669968273321</v>
      </c>
      <c r="J191" s="0" t="n">
        <f aca="false">_xlfn.NORM.DIST(H191,$E$271,$E$272,1)</f>
        <v>0.872582955379306</v>
      </c>
    </row>
    <row r="192" customFormat="false" ht="12.8" hidden="false" customHeight="false" outlineLevel="0" collapsed="false">
      <c r="A192" s="0" t="n">
        <f aca="false">'Исходные данные'!A192</f>
        <v>0.71446</v>
      </c>
      <c r="B192" s="0" t="n">
        <f aca="false">'Исходные данные'!B192</f>
        <v>98.3126</v>
      </c>
      <c r="H192" s="0" t="n">
        <f aca="false">H191+6*$E$272/274</f>
        <v>0.84609315406437</v>
      </c>
      <c r="I192" s="0" t="n">
        <f aca="false">_xlfn.NORM.DIST(H192,$E$271,$E$272,0)</f>
        <v>0.708604767702488</v>
      </c>
      <c r="J192" s="0" t="n">
        <f aca="false">_xlfn.NORM.DIST(H192,$E$271,$E$272,1)</f>
        <v>0.877094430493467</v>
      </c>
    </row>
    <row r="193" customFormat="false" ht="12.8" hidden="false" customHeight="false" outlineLevel="0" collapsed="false">
      <c r="A193" s="0" t="n">
        <f aca="false">'Исходные данные'!A193</f>
        <v>0.752994</v>
      </c>
      <c r="B193" s="0" t="n">
        <f aca="false">'Исходные данные'!B193</f>
        <v>99.0656</v>
      </c>
      <c r="H193" s="0" t="n">
        <f aca="false">H192+6*$E$272/274</f>
        <v>0.852379801465928</v>
      </c>
      <c r="I193" s="0" t="n">
        <f aca="false">_xlfn.NORM.DIST(H193,$E$271,$E$272,0)</f>
        <v>0.690657413242875</v>
      </c>
      <c r="J193" s="0" t="n">
        <f aca="false">_xlfn.NORM.DIST(H193,$E$271,$E$272,1)</f>
        <v>0.88149269901202</v>
      </c>
    </row>
    <row r="194" customFormat="false" ht="12.8" hidden="false" customHeight="false" outlineLevel="0" collapsed="false">
      <c r="A194" s="0" t="n">
        <f aca="false">'Исходные данные'!A194</f>
        <v>0.746421</v>
      </c>
      <c r="B194" s="0" t="n">
        <f aca="false">'Исходные данные'!B194</f>
        <v>99.812</v>
      </c>
      <c r="H194" s="0" t="n">
        <f aca="false">H193+6*$E$272/274</f>
        <v>0.858666448867485</v>
      </c>
      <c r="I194" s="0" t="n">
        <f aca="false">_xlfn.NORM.DIST(H194,$E$271,$E$272,0)</f>
        <v>0.672841910093538</v>
      </c>
      <c r="J194" s="0" t="n">
        <f aca="false">_xlfn.NORM.DIST(H194,$E$271,$E$272,1)</f>
        <v>0.885778546097118</v>
      </c>
    </row>
    <row r="195" customFormat="false" ht="12.8" hidden="false" customHeight="false" outlineLevel="0" collapsed="false">
      <c r="A195" s="0" t="n">
        <f aca="false">'Исходные данные'!A195</f>
        <v>0.600008</v>
      </c>
      <c r="B195" s="0" t="n">
        <f aca="false">'Исходные данные'!B195</f>
        <v>100.412</v>
      </c>
      <c r="H195" s="0" t="n">
        <f aca="false">H194+6*$E$272/274</f>
        <v>0.864953096269043</v>
      </c>
      <c r="I195" s="0" t="n">
        <f aca="false">_xlfn.NORM.DIST(H195,$E$271,$E$272,0)</f>
        <v>0.655171718316514</v>
      </c>
      <c r="J195" s="0" t="n">
        <f aca="false">_xlfn.NORM.DIST(H195,$E$271,$E$272,1)</f>
        <v>0.889952843249527</v>
      </c>
    </row>
    <row r="196" customFormat="false" ht="12.8" hidden="false" customHeight="false" outlineLevel="0" collapsed="false">
      <c r="A196" s="0" t="n">
        <f aca="false">'Исходные данные'!A196</f>
        <v>0.692963</v>
      </c>
      <c r="B196" s="0" t="n">
        <f aca="false">'Исходные данные'!B196</f>
        <v>101.105</v>
      </c>
      <c r="H196" s="0" t="n">
        <f aca="false">H195+6*$E$272/274</f>
        <v>0.8712397436706</v>
      </c>
      <c r="I196" s="0" t="n">
        <f aca="false">_xlfn.NORM.DIST(H196,$E$271,$E$272,0)</f>
        <v>0.637659741422789</v>
      </c>
      <c r="J196" s="0" t="n">
        <f aca="false">_xlfn.NORM.DIST(H196,$E$271,$E$272,1)</f>
        <v>0.894016544844811</v>
      </c>
    </row>
    <row r="197" customFormat="false" ht="12.8" hidden="false" customHeight="false" outlineLevel="0" collapsed="false">
      <c r="A197" s="0" t="n">
        <f aca="false">'Исходные данные'!A197</f>
        <v>0.380041</v>
      </c>
      <c r="B197" s="0" t="n">
        <f aca="false">'Исходные данные'!B197</f>
        <v>101.485</v>
      </c>
      <c r="H197" s="0" t="n">
        <f aca="false">H196+6*$E$272/274</f>
        <v>0.877526391072158</v>
      </c>
      <c r="I197" s="0" t="n">
        <f aca="false">_xlfn.NORM.DIST(H197,$E$271,$E$272,0)</f>
        <v>0.620318316571648</v>
      </c>
      <c r="J197" s="0" t="n">
        <f aca="false">_xlfn.NORM.DIST(H197,$E$271,$E$272,1)</f>
        <v>0.897970684602846</v>
      </c>
    </row>
    <row r="198" customFormat="false" ht="12.8" hidden="false" customHeight="false" outlineLevel="0" collapsed="false">
      <c r="A198" s="0" t="n">
        <f aca="false">'Исходные данные'!A198</f>
        <v>0.851638</v>
      </c>
      <c r="B198" s="0" t="n">
        <f aca="false">'Исходные данные'!B198</f>
        <v>102.337</v>
      </c>
      <c r="H198" s="0" t="n">
        <f aca="false">H197+6*$E$272/274</f>
        <v>0.883813038473716</v>
      </c>
      <c r="I198" s="0" t="n">
        <f aca="false">_xlfn.NORM.DIST(H198,$E$271,$E$272,0)</f>
        <v>0.603159206368863</v>
      </c>
      <c r="J198" s="0" t="n">
        <f aca="false">_xlfn.NORM.DIST(H198,$E$271,$E$272,1)</f>
        <v>0.901816372000751</v>
      </c>
    </row>
    <row r="199" customFormat="false" ht="12.8" hidden="false" customHeight="false" outlineLevel="0" collapsed="false">
      <c r="A199" s="0" t="n">
        <f aca="false">'Исходные данные'!A199</f>
        <v>0.174106</v>
      </c>
      <c r="B199" s="0" t="n">
        <f aca="false">'Исходные данные'!B199</f>
        <v>102.511</v>
      </c>
      <c r="H199" s="0" t="n">
        <f aca="false">H198+6*$E$272/274</f>
        <v>0.890099685875273</v>
      </c>
      <c r="I199" s="0" t="n">
        <f aca="false">_xlfn.NORM.DIST(H199,$E$271,$E$272,0)</f>
        <v>0.586193592244254</v>
      </c>
      <c r="J199" s="0" t="n">
        <f aca="false">_xlfn.NORM.DIST(H199,$E$271,$E$272,1)</f>
        <v>0.905554788639236</v>
      </c>
    </row>
    <row r="200" customFormat="false" ht="12.8" hidden="false" customHeight="false" outlineLevel="0" collapsed="false">
      <c r="A200" s="0" t="n">
        <f aca="false">'Исходные данные'!A200</f>
        <v>0.7634</v>
      </c>
      <c r="B200" s="0" t="n">
        <f aca="false">'Исходные данные'!B200</f>
        <v>103.274</v>
      </c>
      <c r="H200" s="0" t="n">
        <f aca="false">H199+6*$E$272/274</f>
        <v>0.896386333276831</v>
      </c>
      <c r="I200" s="0" t="n">
        <f aca="false">_xlfn.NORM.DIST(H200,$E$271,$E$272,0)</f>
        <v>0.569432069384476</v>
      </c>
      <c r="J200" s="0" t="n">
        <f aca="false">_xlfn.NORM.DIST(H200,$E$271,$E$272,1)</f>
        <v>0.909187184572218</v>
      </c>
    </row>
    <row r="201" customFormat="false" ht="12.8" hidden="false" customHeight="false" outlineLevel="0" collapsed="false">
      <c r="A201" s="0" t="n">
        <f aca="false">'Исходные данные'!A201</f>
        <v>0.219235</v>
      </c>
      <c r="B201" s="0" t="n">
        <f aca="false">'Исходные данные'!B201</f>
        <v>103.493</v>
      </c>
      <c r="H201" s="0" t="n">
        <f aca="false">H200+6*$E$272/274</f>
        <v>0.902672980678388</v>
      </c>
      <c r="I201" s="0" t="n">
        <f aca="false">_xlfn.NORM.DIST(H201,$E$271,$E$272,0)</f>
        <v>0.552884643192385</v>
      </c>
      <c r="J201" s="0" t="n">
        <f aca="false">_xlfn.NORM.DIST(H201,$E$271,$E$272,1)</f>
        <v>0.912714874609394</v>
      </c>
    </row>
    <row r="202" customFormat="false" ht="12.8" hidden="false" customHeight="false" outlineLevel="0" collapsed="false">
      <c r="A202" s="0" t="n">
        <f aca="false">'Исходные данные'!A202</f>
        <v>0.321739</v>
      </c>
      <c r="B202" s="0" t="n">
        <f aca="false">'Исходные данные'!B202</f>
        <v>103.815</v>
      </c>
      <c r="H202" s="0" t="n">
        <f aca="false">H201+6*$E$272/274</f>
        <v>0.908959628079946</v>
      </c>
      <c r="I202" s="0" t="n">
        <f aca="false">_xlfn.NORM.DIST(H202,$E$271,$E$272,0)</f>
        <v>0.536560727240089</v>
      </c>
      <c r="J202" s="0" t="n">
        <f aca="false">_xlfn.NORM.DIST(H202,$E$271,$E$272,1)</f>
        <v>0.916139234601274</v>
      </c>
    </row>
    <row r="203" customFormat="false" ht="12.8" hidden="false" customHeight="false" outlineLevel="0" collapsed="false">
      <c r="A203" s="0" t="n">
        <f aca="false">'Исходные данные'!A203</f>
        <v>0.814461</v>
      </c>
      <c r="B203" s="0" t="n">
        <f aca="false">'Исходные данные'!B203</f>
        <v>104.63</v>
      </c>
      <c r="H203" s="0" t="n">
        <f aca="false">H202+6*$E$272/274</f>
        <v>0.915246275481504</v>
      </c>
      <c r="I203" s="0" t="n">
        <f aca="false">_xlfn.NORM.DIST(H203,$E$271,$E$272,0)</f>
        <v>0.520469142678789</v>
      </c>
      <c r="J203" s="0" t="n">
        <f aca="false">_xlfn.NORM.DIST(H203,$E$271,$E$272,1)</f>
        <v>0.919461697715938</v>
      </c>
    </row>
    <row r="204" customFormat="false" ht="12.8" hidden="false" customHeight="false" outlineLevel="0" collapsed="false">
      <c r="A204" s="0" t="n">
        <f aca="false">'Исходные данные'!A204</f>
        <v>0.408474</v>
      </c>
      <c r="B204" s="0" t="n">
        <f aca="false">'Исходные данные'!B204</f>
        <v>105.038</v>
      </c>
      <c r="H204" s="0" t="n">
        <f aca="false">H203+6*$E$272/274</f>
        <v>0.921532922883061</v>
      </c>
      <c r="I204" s="0" t="n">
        <f aca="false">_xlfn.NORM.DIST(H204,$E$271,$E$272,0)</f>
        <v>0.504618119064761</v>
      </c>
      <c r="J204" s="0" t="n">
        <f aca="false">_xlfn.NORM.DIST(H204,$E$271,$E$272,1)</f>
        <v>0.922683750716565</v>
      </c>
    </row>
    <row r="205" customFormat="false" ht="12.8" hidden="false" customHeight="false" outlineLevel="0" collapsed="false">
      <c r="A205" s="0" t="n">
        <f aca="false">'Исходные данные'!A205</f>
        <v>0.143596</v>
      </c>
      <c r="B205" s="0" t="n">
        <f aca="false">'Исходные данные'!B205</f>
        <v>105.182</v>
      </c>
      <c r="H205" s="0" t="n">
        <f aca="false">H204+6*$E$272/274</f>
        <v>0.927819570284619</v>
      </c>
      <c r="I205" s="0" t="n">
        <f aca="false">_xlfn.NORM.DIST(H205,$E$271,$E$272,0)</f>
        <v>0.489015296557324</v>
      </c>
      <c r="J205" s="0" t="n">
        <f aca="false">_xlfn.NORM.DIST(H205,$E$271,$E$272,1)</f>
        <v>0.925806930248481</v>
      </c>
    </row>
    <row r="206" customFormat="false" ht="12.8" hidden="false" customHeight="false" outlineLevel="0" collapsed="false">
      <c r="A206" s="0" t="n">
        <f aca="false">'Исходные данные'!A206</f>
        <v>0.814535</v>
      </c>
      <c r="B206" s="0" t="n">
        <f aca="false">'Исходные данные'!B206</f>
        <v>105.996</v>
      </c>
      <c r="H206" s="0" t="n">
        <f aca="false">H205+6*$E$272/274</f>
        <v>0.934106217686176</v>
      </c>
      <c r="I206" s="0" t="n">
        <f aca="false">_xlfn.NORM.DIST(H206,$E$271,$E$272,0)</f>
        <v>0.47366772944146</v>
      </c>
      <c r="J206" s="0" t="n">
        <f aca="false">_xlfn.NORM.DIST(H206,$E$271,$E$272,1)</f>
        <v>0.928832819144227</v>
      </c>
    </row>
    <row r="207" customFormat="false" ht="12.8" hidden="false" customHeight="false" outlineLevel="0" collapsed="false">
      <c r="A207" s="0" t="n">
        <f aca="false">'Исходные данные'!A207</f>
        <v>0.537004</v>
      </c>
      <c r="B207" s="0" t="n">
        <f aca="false">'Исходные данные'!B207</f>
        <v>106.533</v>
      </c>
      <c r="H207" s="0" t="n">
        <f aca="false">H206+6*$E$272/274</f>
        <v>0.940392865087734</v>
      </c>
      <c r="I207" s="0" t="n">
        <f aca="false">_xlfn.NORM.DIST(H207,$E$271,$E$272,0)</f>
        <v>0.458581890924741</v>
      </c>
      <c r="J207" s="0" t="n">
        <f aca="false">_xlfn.NORM.DIST(H207,$E$271,$E$272,1)</f>
        <v>0.931763042754789</v>
      </c>
    </row>
    <row r="208" customFormat="false" ht="12.8" hidden="false" customHeight="false" outlineLevel="0" collapsed="false">
      <c r="A208" s="0" t="n">
        <f aca="false">'Исходные данные'!A208</f>
        <v>0.340193</v>
      </c>
      <c r="B208" s="0" t="n">
        <f aca="false">'Исходные данные'!B208</f>
        <v>106.873</v>
      </c>
      <c r="H208" s="0" t="n">
        <f aca="false">H207+6*$E$272/274</f>
        <v>0.946679512489292</v>
      </c>
      <c r="I208" s="0" t="n">
        <f aca="false">_xlfn.NORM.DIST(H208,$E$271,$E$272,0)</f>
        <v>0.443763679155624</v>
      </c>
      <c r="J208" s="0" t="n">
        <f aca="false">_xlfn.NORM.DIST(H208,$E$271,$E$272,1)</f>
        <v>0.934599265314869</v>
      </c>
    </row>
    <row r="209" customFormat="false" ht="12.8" hidden="false" customHeight="false" outlineLevel="0" collapsed="false">
      <c r="A209" s="0" t="n">
        <f aca="false">'Исходные данные'!A209</f>
        <v>0.328503</v>
      </c>
      <c r="B209" s="0" t="n">
        <f aca="false">'Исходные данные'!B209</f>
        <v>107.202</v>
      </c>
      <c r="H209" s="0" t="n">
        <f aca="false">H208+6*$E$272/274</f>
        <v>0.952966159890849</v>
      </c>
      <c r="I209" s="0" t="n">
        <f aca="false">_xlfn.NORM.DIST(H209,$E$271,$E$272,0)</f>
        <v>0.429218424407742</v>
      </c>
      <c r="J209" s="0" t="n">
        <f aca="false">_xlfn.NORM.DIST(H209,$E$271,$E$272,1)</f>
        <v>0.937343186349673</v>
      </c>
    </row>
    <row r="210" customFormat="false" ht="12.8" hidden="false" customHeight="false" outlineLevel="0" collapsed="false">
      <c r="A210" s="0" t="n">
        <f aca="false">'Исходные данные'!A210</f>
        <v>0.666188</v>
      </c>
      <c r="B210" s="0" t="n">
        <f aca="false">'Исходные данные'!B210</f>
        <v>107.868</v>
      </c>
      <c r="H210" s="0" t="n">
        <f aca="false">H209+6*$E$272/274</f>
        <v>0.959252807292407</v>
      </c>
      <c r="I210" s="0" t="n">
        <f aca="false">_xlfn.NORM.DIST(H210,$E$271,$E$272,0)</f>
        <v>0.414950897372732</v>
      </c>
      <c r="J210" s="0" t="n">
        <f aca="false">_xlfn.NORM.DIST(H210,$E$271,$E$272,1)</f>
        <v>0.939996537130388</v>
      </c>
    </row>
    <row r="211" customFormat="false" ht="12.8" hidden="false" customHeight="false" outlineLevel="0" collapsed="false">
      <c r="A211" s="0" t="n">
        <f aca="false">'Исходные данные'!A211</f>
        <v>0.0186037</v>
      </c>
      <c r="B211" s="0" t="n">
        <f aca="false">'Исходные данные'!B211</f>
        <v>107.887</v>
      </c>
      <c r="H211" s="0" t="n">
        <f aca="false">H210+6*$E$272/274</f>
        <v>0.965539454693964</v>
      </c>
      <c r="I211" s="0" t="n">
        <f aca="false">_xlfn.NORM.DIST(H211,$E$271,$E$272,0)</f>
        <v>0.400965318502344</v>
      </c>
      <c r="J211" s="0" t="n">
        <f aca="false">_xlfn.NORM.DIST(H211,$E$271,$E$272,1)</f>
        <v>0.942561077185111</v>
      </c>
    </row>
    <row r="212" customFormat="false" ht="12.8" hidden="false" customHeight="false" outlineLevel="0" collapsed="false">
      <c r="A212" s="0" t="n">
        <f aca="false">'Исходные данные'!A212</f>
        <v>0.18108</v>
      </c>
      <c r="B212" s="0" t="n">
        <f aca="false">'Исходные данные'!B212</f>
        <v>108.068</v>
      </c>
      <c r="H212" s="0" t="n">
        <f aca="false">H211+6*$E$272/274</f>
        <v>0.971826102095522</v>
      </c>
      <c r="I212" s="0" t="n">
        <f aca="false">_xlfn.NORM.DIST(H212,$E$271,$E$272,0)</f>
        <v>0.387265368339004</v>
      </c>
      <c r="J212" s="0" t="n">
        <f aca="false">_xlfn.NORM.DIST(H212,$E$271,$E$272,1)</f>
        <v>0.945038590871667</v>
      </c>
    </row>
    <row r="213" customFormat="false" ht="12.8" hidden="false" customHeight="false" outlineLevel="0" collapsed="false">
      <c r="A213" s="0" t="n">
        <f aca="false">'Исходные данные'!A213</f>
        <v>0.325345</v>
      </c>
      <c r="B213" s="0" t="n">
        <f aca="false">'Исходные данные'!B213</f>
        <v>108.393</v>
      </c>
      <c r="H213" s="0" t="n">
        <f aca="false">H212+6*$E$272/274</f>
        <v>0.97811274949708</v>
      </c>
      <c r="I213" s="0" t="n">
        <f aca="false">_xlfn.NORM.DIST(H213,$E$271,$E$272,0)</f>
        <v>0.373854198772797</v>
      </c>
      <c r="J213" s="0" t="n">
        <f aca="false">_xlfn.NORM.DIST(H213,$E$271,$E$272,1)</f>
        <v>0.947430884018292</v>
      </c>
    </row>
    <row r="214" customFormat="false" ht="12.8" hidden="false" customHeight="false" outlineLevel="0" collapsed="false">
      <c r="A214" s="0" t="n">
        <f aca="false">'Исходные данные'!A214</f>
        <v>0.916683</v>
      </c>
      <c r="B214" s="0" t="n">
        <f aca="false">'Исходные данные'!B214</f>
        <v>109.31</v>
      </c>
      <c r="H214" s="0" t="n">
        <f aca="false">H213+6*$E$272/274</f>
        <v>0.984399396898637</v>
      </c>
      <c r="I214" s="0" t="n">
        <f aca="false">_xlfn.NORM.DIST(H214,$E$271,$E$272,0)</f>
        <v>0.360734445161807</v>
      </c>
      <c r="J214" s="0" t="n">
        <f aca="false">_xlfn.NORM.DIST(H214,$E$271,$E$272,1)</f>
        <v>0.949739780637856</v>
      </c>
    </row>
    <row r="215" customFormat="false" ht="12.8" hidden="false" customHeight="false" outlineLevel="0" collapsed="false">
      <c r="A215" s="0" t="n">
        <f aca="false">'Исходные данные'!A215</f>
        <v>0.179881</v>
      </c>
      <c r="B215" s="0" t="n">
        <f aca="false">'Исходные данные'!B215</f>
        <v>109.49</v>
      </c>
      <c r="H215" s="0" t="n">
        <f aca="false">H214+6*$E$272/274</f>
        <v>0.990686044300195</v>
      </c>
      <c r="I215" s="0" t="n">
        <f aca="false">_xlfn.NORM.DIST(H215,$E$271,$E$272,0)</f>
        <v>0.347908239252085</v>
      </c>
      <c r="J215" s="0" t="n">
        <f aca="false">_xlfn.NORM.DIST(H215,$E$271,$E$272,1)</f>
        <v>0.951967119720811</v>
      </c>
    </row>
    <row r="216" customFormat="false" ht="12.8" hidden="false" customHeight="false" outlineLevel="0" collapsed="false">
      <c r="A216" s="0" t="n">
        <f aca="false">'Исходные данные'!A216</f>
        <v>0.294887</v>
      </c>
      <c r="B216" s="0" t="n">
        <f aca="false">'Исходные данные'!B216</f>
        <v>109.785</v>
      </c>
      <c r="H216" s="0" t="n">
        <f aca="false">H215+6*$E$272/274</f>
        <v>0.996972691701752</v>
      </c>
      <c r="I216" s="0" t="n">
        <f aca="false">_xlfn.NORM.DIST(H216,$E$271,$E$272,0)</f>
        <v>0.335377222833045</v>
      </c>
      <c r="J216" s="0" t="n">
        <f aca="false">_xlfn.NORM.DIST(H216,$E$271,$E$272,1)</f>
        <v>0.954114752111716</v>
      </c>
    </row>
    <row r="217" customFormat="false" ht="12.8" hidden="false" customHeight="false" outlineLevel="0" collapsed="false">
      <c r="A217" s="0" t="n">
        <f aca="false">'Исходные данные'!A217</f>
        <v>0.905469</v>
      </c>
      <c r="B217" s="0" t="n">
        <f aca="false">'Исходные данные'!B217</f>
        <v>110.69</v>
      </c>
      <c r="H217" s="0" t="n">
        <f aca="false">H216+6*$E$272/274</f>
        <v>1.00325933910331</v>
      </c>
      <c r="I217" s="0" t="n">
        <f aca="false">_xlfn.NORM.DIST(H217,$E$271,$E$272,0)</f>
        <v>0.323142562063914</v>
      </c>
      <c r="J217" s="0" t="n">
        <f aca="false">_xlfn.NORM.DIST(H217,$E$271,$E$272,1)</f>
        <v>0.956184537473751</v>
      </c>
    </row>
    <row r="218" customFormat="false" ht="12.8" hidden="false" customHeight="false" outlineLevel="0" collapsed="false">
      <c r="A218" s="0" t="n">
        <f aca="false">'Исходные данные'!A218</f>
        <v>0.712882</v>
      </c>
      <c r="B218" s="0" t="n">
        <f aca="false">'Исходные данные'!B218</f>
        <v>111.403</v>
      </c>
      <c r="H218" s="0" t="n">
        <f aca="false">H217+6*$E$272/274</f>
        <v>1.00954598650487</v>
      </c>
      <c r="I218" s="0" t="n">
        <f aca="false">_xlfn.NORM.DIST(H218,$E$271,$E$272,0)</f>
        <v>0.311204962406925</v>
      </c>
      <c r="J218" s="0" t="n">
        <f aca="false">_xlfn.NORM.DIST(H218,$E$271,$E$272,1)</f>
        <v>0.958178341345239</v>
      </c>
    </row>
    <row r="219" customFormat="false" ht="12.8" hidden="false" customHeight="false" outlineLevel="0" collapsed="false">
      <c r="A219" s="0" t="n">
        <f aca="false">'Исходные данные'!A219</f>
        <v>0.675327</v>
      </c>
      <c r="B219" s="0" t="n">
        <f aca="false">'Исходные данные'!B219</f>
        <v>112.078</v>
      </c>
      <c r="H219" s="0" t="n">
        <f aca="false">H218+6*$E$272/274</f>
        <v>1.01583263390642</v>
      </c>
      <c r="I219" s="0" t="n">
        <f aca="false">_xlfn.NORM.DIST(H219,$E$271,$E$272,0)</f>
        <v>0.299564684103234</v>
      </c>
      <c r="J219" s="0" t="n">
        <f aca="false">_xlfn.NORM.DIST(H219,$E$271,$E$272,1)</f>
        <v>0.960098032291778</v>
      </c>
    </row>
    <row r="220" customFormat="false" ht="12.8" hidden="false" customHeight="false" outlineLevel="0" collapsed="false">
      <c r="A220" s="0" t="n">
        <f aca="false">'Исходные данные'!A220</f>
        <v>0.392521</v>
      </c>
      <c r="B220" s="0" t="n">
        <f aca="false">'Исходные данные'!B220</f>
        <v>112.471</v>
      </c>
      <c r="H220" s="0" t="n">
        <f aca="false">H219+6*$E$272/274</f>
        <v>1.02211928130798</v>
      </c>
      <c r="I220" s="0" t="n">
        <f aca="false">_xlfn.NORM.DIST(H220,$E$271,$E$272,0)</f>
        <v>0.288221558128086</v>
      </c>
      <c r="J220" s="0" t="n">
        <f aca="false">_xlfn.NORM.DIST(H220,$E$271,$E$272,1)</f>
        <v>0.96194547915722</v>
      </c>
    </row>
    <row r="221" customFormat="false" ht="12.8" hidden="false" customHeight="false" outlineLevel="0" collapsed="false">
      <c r="A221" s="0" t="n">
        <f aca="false">'Исходные данные'!A221</f>
        <v>0.754776</v>
      </c>
      <c r="B221" s="0" t="n">
        <f aca="false">'Исходные данные'!B221</f>
        <v>113.226</v>
      </c>
      <c r="H221" s="0" t="n">
        <f aca="false">H220+6*$E$272/274</f>
        <v>1.02840592870954</v>
      </c>
      <c r="I221" s="0" t="n">
        <f aca="false">_xlfn.NORM.DIST(H221,$E$271,$E$272,0)</f>
        <v>0.277175002562497</v>
      </c>
      <c r="J221" s="0" t="n">
        <f aca="false">_xlfn.NORM.DIST(H221,$E$271,$E$272,1)</f>
        <v>0.963722548416276</v>
      </c>
    </row>
    <row r="222" customFormat="false" ht="12.8" hidden="false" customHeight="false" outlineLevel="0" collapsed="false">
      <c r="A222" s="0" t="n">
        <f aca="false">'Исходные данные'!A222</f>
        <v>0.867366</v>
      </c>
      <c r="B222" s="0" t="n">
        <f aca="false">'Исходные данные'!B222</f>
        <v>114.093</v>
      </c>
      <c r="H222" s="0" t="n">
        <f aca="false">H221+6*$E$272/274</f>
        <v>1.0346925761111</v>
      </c>
      <c r="I222" s="0" t="n">
        <f aca="false">_xlfn.NORM.DIST(H222,$E$271,$E$272,0)</f>
        <v>0.266424039319692</v>
      </c>
      <c r="J222" s="0" t="n">
        <f aca="false">_xlfn.NORM.DIST(H222,$E$271,$E$272,1)</f>
        <v>0.965431101631214</v>
      </c>
    </row>
    <row r="223" customFormat="false" ht="12.8" hidden="false" customHeight="false" outlineLevel="0" collapsed="false">
      <c r="A223" s="0" t="n">
        <f aca="false">'Исходные данные'!A223</f>
        <v>0.0285797</v>
      </c>
      <c r="B223" s="0" t="n">
        <f aca="false">'Исходные данные'!B223</f>
        <v>114.121</v>
      </c>
      <c r="H223" s="0" t="n">
        <f aca="false">H222+6*$E$272/274</f>
        <v>1.04097922351265</v>
      </c>
      <c r="I223" s="0" t="n">
        <f aca="false">_xlfn.NORM.DIST(H223,$E$271,$E$272,0)</f>
        <v>0.255967311165676</v>
      </c>
      <c r="J223" s="0" t="n">
        <f aca="false">_xlfn.NORM.DIST(H223,$E$271,$E$272,1)</f>
        <v>0.967072993014645</v>
      </c>
    </row>
    <row r="224" customFormat="false" ht="12.8" hidden="false" customHeight="false" outlineLevel="0" collapsed="false">
      <c r="A224" s="0" t="n">
        <f aca="false">'Исходные данные'!A224</f>
        <v>0.268698</v>
      </c>
      <c r="B224" s="0" t="n">
        <f aca="false">'Исходные данные'!B224</f>
        <v>114.39</v>
      </c>
      <c r="H224" s="0" t="n">
        <f aca="false">H223+6*$E$272/274</f>
        <v>1.04726587091421</v>
      </c>
      <c r="I224" s="0" t="n">
        <f aca="false">_xlfn.NORM.DIST(H224,$E$271,$E$272,0)</f>
        <v>0.24580309897468</v>
      </c>
      <c r="J224" s="0" t="n">
        <f aca="false">_xlfn.NORM.DIST(H224,$E$271,$E$272,1)</f>
        <v>0.968650067100096</v>
      </c>
    </row>
    <row r="225" customFormat="false" ht="12.8" hidden="false" customHeight="false" outlineLevel="0" collapsed="false">
      <c r="A225" s="0" t="n">
        <f aca="false">'Исходные данные'!A225</f>
        <v>0.0974806</v>
      </c>
      <c r="B225" s="0" t="n">
        <f aca="false">'Исходные данные'!B225</f>
        <v>114.488</v>
      </c>
      <c r="H225" s="0" t="n">
        <f aca="false">H224+6*$E$272/274</f>
        <v>1.05355251831577</v>
      </c>
      <c r="I225" s="0" t="n">
        <f aca="false">_xlfn.NORM.DIST(H225,$E$271,$E$272,0)</f>
        <v>0.235929339161708</v>
      </c>
      <c r="J225" s="0" t="n">
        <f aca="false">_xlfn.NORM.DIST(H225,$E$271,$E$272,1)</f>
        <v>0.970164156521638</v>
      </c>
    </row>
    <row r="226" customFormat="false" ht="12.8" hidden="false" customHeight="false" outlineLevel="0" collapsed="false">
      <c r="A226" s="0" t="n">
        <f aca="false">'Исходные данные'!A226</f>
        <v>0.326727</v>
      </c>
      <c r="B226" s="0" t="n">
        <f aca="false">'Исходные данные'!B226</f>
        <v>114.814</v>
      </c>
      <c r="H226" s="0" t="n">
        <f aca="false">H225+6*$E$272/274</f>
        <v>1.05983916571733</v>
      </c>
      <c r="I226" s="0" t="n">
        <f aca="false">_xlfn.NORM.DIST(H226,$E$271,$E$272,0)</f>
        <v>0.22634364123611</v>
      </c>
      <c r="J226" s="0" t="n">
        <f aca="false">_xlfn.NORM.DIST(H226,$E$271,$E$272,1)</f>
        <v>0.971617079903523</v>
      </c>
    </row>
    <row r="227" customFormat="false" ht="12.8" hidden="false" customHeight="false" outlineLevel="0" collapsed="false">
      <c r="A227" s="0" t="n">
        <f aca="false">'Исходные данные'!A227</f>
        <v>0.755166</v>
      </c>
      <c r="B227" s="0" t="n">
        <f aca="false">'Исходные данные'!B227</f>
        <v>115.57</v>
      </c>
      <c r="H227" s="0" t="n">
        <f aca="false">H226+6*$E$272/274</f>
        <v>1.06612581311888</v>
      </c>
      <c r="I227" s="0" t="n">
        <f aca="false">_xlfn.NORM.DIST(H227,$E$271,$E$272,0)</f>
        <v>0.217043305421902</v>
      </c>
      <c r="J227" s="0" t="n">
        <f aca="false">_xlfn.NORM.DIST(H227,$E$271,$E$272,1)</f>
        <v>0.973010639860407</v>
      </c>
    </row>
    <row r="228" customFormat="false" ht="12.8" hidden="false" customHeight="false" outlineLevel="0" collapsed="false">
      <c r="A228" s="0" t="n">
        <f aca="false">'Исходные данные'!A228</f>
        <v>0.763165</v>
      </c>
      <c r="B228" s="0" t="n">
        <f aca="false">'Исходные данные'!B228</f>
        <v>116.333</v>
      </c>
      <c r="H228" s="0" t="n">
        <f aca="false">H227+6*$E$272/274</f>
        <v>1.07241246052044</v>
      </c>
      <c r="I228" s="0" t="n">
        <f aca="false">_xlfn.NORM.DIST(H228,$E$271,$E$272,0)</f>
        <v>0.208025340292509</v>
      </c>
      <c r="J228" s="0" t="n">
        <f aca="false">_xlfn.NORM.DIST(H228,$E$271,$E$272,1)</f>
        <v>0.974346621108421</v>
      </c>
    </row>
    <row r="229" customFormat="false" ht="12.8" hidden="false" customHeight="false" outlineLevel="0" collapsed="false">
      <c r="A229" s="0" t="n">
        <f aca="false">'Исходные данные'!A229</f>
        <v>0.113713</v>
      </c>
      <c r="B229" s="0" t="n">
        <f aca="false">'Исходные данные'!B229</f>
        <v>116.446</v>
      </c>
      <c r="H229" s="0" t="n">
        <f aca="false">H228+6*$E$272/274</f>
        <v>1.078699107922</v>
      </c>
      <c r="I229" s="0" t="n">
        <f aca="false">_xlfn.NORM.DIST(H229,$E$271,$E$272,0)</f>
        <v>0.199286480369668</v>
      </c>
      <c r="J229" s="0" t="n">
        <f aca="false">_xlfn.NORM.DIST(H229,$E$271,$E$272,1)</f>
        <v>0.975626788687015</v>
      </c>
    </row>
    <row r="230" customFormat="false" ht="12.8" hidden="false" customHeight="false" outlineLevel="0" collapsed="false">
      <c r="A230" s="0" t="n">
        <f aca="false">'Исходные данные'!A230</f>
        <v>0.532727</v>
      </c>
      <c r="B230" s="0" t="n">
        <f aca="false">'Исходные данные'!B230</f>
        <v>116.979</v>
      </c>
      <c r="H230" s="0" t="n">
        <f aca="false">H229+6*$E$272/274</f>
        <v>1.08498575532356</v>
      </c>
      <c r="I230" s="0" t="n">
        <f aca="false">_xlfn.NORM.DIST(H230,$E$271,$E$272,0)</f>
        <v>0.190823203638415</v>
      </c>
      <c r="J230" s="0" t="n">
        <f aca="false">_xlfn.NORM.DIST(H230,$E$271,$E$272,1)</f>
        <v>0.976852886291206</v>
      </c>
    </row>
    <row r="231" customFormat="false" ht="12.8" hidden="false" customHeight="false" outlineLevel="0" collapsed="false">
      <c r="A231" s="0" t="n">
        <f aca="false">'Исходные данные'!A231</f>
        <v>0.553166</v>
      </c>
      <c r="B231" s="0" t="n">
        <f aca="false">'Исходные данные'!B231</f>
        <v>117.532</v>
      </c>
      <c r="H231" s="0" t="n">
        <f aca="false">H230+6*$E$272/274</f>
        <v>1.09127240272511</v>
      </c>
      <c r="I231" s="0" t="n">
        <f aca="false">_xlfn.NORM.DIST(H231,$E$271,$E$272,0)</f>
        <v>0.18263174893231</v>
      </c>
      <c r="J231" s="0" t="n">
        <f aca="false">_xlfn.NORM.DIST(H231,$E$271,$E$272,1)</f>
        <v>0.978026634713546</v>
      </c>
    </row>
    <row r="232" customFormat="false" ht="12.8" hidden="false" customHeight="false" outlineLevel="0" collapsed="false">
      <c r="A232" s="0" t="n">
        <f aca="false">'Исходные данные'!A232</f>
        <v>0.64539</v>
      </c>
      <c r="B232" s="0" t="n">
        <f aca="false">'Исходные данные'!B232</f>
        <v>118.178</v>
      </c>
      <c r="H232" s="0" t="n">
        <f aca="false">H231+6*$E$272/274</f>
        <v>1.09755905012667</v>
      </c>
      <c r="I232" s="0" t="n">
        <f aca="false">_xlfn.NORM.DIST(H232,$E$271,$E$272,0)</f>
        <v>0.174708133145435</v>
      </c>
      <c r="J232" s="0" t="n">
        <f aca="false">_xlfn.NORM.DIST(H232,$E$271,$E$272,1)</f>
        <v>0.979149730394869</v>
      </c>
    </row>
    <row r="233" customFormat="false" ht="12.8" hidden="false" customHeight="false" outlineLevel="0" collapsed="false">
      <c r="A233" s="0" t="n">
        <f aca="false">'Исходные данные'!A233</f>
        <v>0.466504</v>
      </c>
      <c r="B233" s="0" t="n">
        <f aca="false">'Исходные данные'!B233</f>
        <v>118.644</v>
      </c>
      <c r="H233" s="0" t="n">
        <f aca="false">H232+6*$E$272/274</f>
        <v>1.10384569752823</v>
      </c>
      <c r="I233" s="0" t="n">
        <f aca="false">_xlfn.NORM.DIST(H233,$E$271,$E$272,0)</f>
        <v>0.167048168230064</v>
      </c>
      <c r="J233" s="0" t="n">
        <f aca="false">_xlfn.NORM.DIST(H233,$E$271,$E$272,1)</f>
        <v>0.980223844082585</v>
      </c>
    </row>
    <row r="234" customFormat="false" ht="12.8" hidden="false" customHeight="false" outlineLevel="0" collapsed="false">
      <c r="A234" s="0" t="n">
        <f aca="false">'Исходные данные'!A234</f>
        <v>0.915454</v>
      </c>
      <c r="B234" s="0" t="n">
        <f aca="false">'Исходные данные'!B234</f>
        <v>119.56</v>
      </c>
      <c r="H234" s="0" t="n">
        <f aca="false">H233+6*$E$272/274</f>
        <v>1.11013234492979</v>
      </c>
      <c r="I234" s="0" t="n">
        <f aca="false">_xlfn.NORM.DIST(H234,$E$271,$E$272,0)</f>
        <v>0.159647477941406</v>
      </c>
      <c r="J234" s="0" t="n">
        <f aca="false">_xlfn.NORM.DIST(H234,$E$271,$E$272,1)</f>
        <v>0.981250619595059</v>
      </c>
    </row>
    <row r="235" customFormat="false" ht="12.8" hidden="false" customHeight="false" outlineLevel="0" collapsed="false">
      <c r="A235" s="0" t="n">
        <f aca="false">'Исходные данные'!A235</f>
        <v>0.819373</v>
      </c>
      <c r="B235" s="0" t="n">
        <f aca="false">'Исходные данные'!B235</f>
        <v>120.379</v>
      </c>
      <c r="H235" s="0" t="n">
        <f aca="false">H234+6*$E$272/274</f>
        <v>1.11641899233134</v>
      </c>
      <c r="I235" s="0" t="n">
        <f aca="false">_xlfn.NORM.DIST(H235,$E$271,$E$272,0)</f>
        <v>0.15250151429326</v>
      </c>
      <c r="J235" s="0" t="n">
        <f aca="false">_xlfn.NORM.DIST(H235,$E$271,$E$272,1)</f>
        <v>0.982231672690373</v>
      </c>
    </row>
    <row r="236" customFormat="false" ht="12.8" hidden="false" customHeight="false" outlineLevel="0" collapsed="false">
      <c r="A236" s="0" t="n">
        <f aca="false">'Исходные данные'!A236</f>
        <v>0.874797</v>
      </c>
      <c r="B236" s="0" t="n">
        <f aca="false">'Исходные данные'!B236</f>
        <v>121.254</v>
      </c>
      <c r="H236" s="0" t="n">
        <f aca="false">H235+6*$E$272/274</f>
        <v>1.1227056397329</v>
      </c>
      <c r="I236" s="0" t="n">
        <f aca="false">_xlfn.NORM.DIST(H236,$E$271,$E$272,0)</f>
        <v>0.145605573691012</v>
      </c>
      <c r="J236" s="0" t="n">
        <f aca="false">_xlfn.NORM.DIST(H236,$E$271,$E$272,1)</f>
        <v>0.983168590037531</v>
      </c>
    </row>
    <row r="237" customFormat="false" ht="12.8" hidden="false" customHeight="false" outlineLevel="0" collapsed="false">
      <c r="A237" s="0" t="n">
        <f aca="false">'Исходные данные'!A237</f>
        <v>0.77883</v>
      </c>
      <c r="B237" s="0" t="n">
        <f aca="false">'Исходные данные'!B237</f>
        <v>122.033</v>
      </c>
      <c r="H237" s="0" t="n">
        <f aca="false">H236+6*$E$272/274</f>
        <v>1.12899228713446</v>
      </c>
      <c r="I237" s="0" t="n">
        <f aca="false">_xlfn.NORM.DIST(H237,$E$271,$E$272,0)</f>
        <v>0.138954812710882</v>
      </c>
      <c r="J237" s="0" t="n">
        <f aca="false">_xlfn.NORM.DIST(H237,$E$271,$E$272,1)</f>
        <v>0.984062928288</v>
      </c>
    </row>
    <row r="238" customFormat="false" ht="12.8" hidden="false" customHeight="false" outlineLevel="0" collapsed="false">
      <c r="A238" s="0" t="n">
        <f aca="false">'Исходные данные'!A238</f>
        <v>0.484599</v>
      </c>
      <c r="B238" s="0" t="n">
        <f aca="false">'Исходные данные'!B238</f>
        <v>122.517</v>
      </c>
      <c r="H238" s="0" t="n">
        <f aca="false">H237+6*$E$272/274</f>
        <v>1.13527893453602</v>
      </c>
      <c r="I238" s="0" t="n">
        <f aca="false">_xlfn.NORM.DIST(H238,$E$271,$E$272,0)</f>
        <v>0.132544263496926</v>
      </c>
      <c r="J238" s="0" t="n">
        <f aca="false">_xlfn.NORM.DIST(H238,$E$271,$E$272,1)</f>
        <v>0.984916213245257</v>
      </c>
    </row>
    <row r="239" customFormat="false" ht="12.8" hidden="false" customHeight="false" outlineLevel="0" collapsed="false">
      <c r="A239" s="0" t="n">
        <f aca="false">'Исходные данные'!A239</f>
        <v>0.646357</v>
      </c>
      <c r="B239" s="0" t="n">
        <f aca="false">'Исходные данные'!B239</f>
        <v>123.164</v>
      </c>
      <c r="H239" s="0" t="n">
        <f aca="false">H238+6*$E$272/274</f>
        <v>1.14156558193757</v>
      </c>
      <c r="I239" s="0" t="n">
        <f aca="false">_xlfn.NORM.DIST(H239,$E$271,$E$272,0)</f>
        <v>0.126368848749774</v>
      </c>
      <c r="J239" s="0" t="n">
        <f aca="false">_xlfn.NORM.DIST(H239,$E$271,$E$272,1)</f>
        <v>0.985729939129861</v>
      </c>
    </row>
    <row r="240" customFormat="false" ht="12.8" hidden="false" customHeight="false" outlineLevel="0" collapsed="false">
      <c r="A240" s="0" t="n">
        <f aca="false">'Исходные данные'!A240</f>
        <v>0.846688</v>
      </c>
      <c r="B240" s="0" t="n">
        <f aca="false">'Исходные данные'!B240</f>
        <v>124.01</v>
      </c>
      <c r="H240" s="0" t="n">
        <f aca="false">H239+6*$E$272/274</f>
        <v>1.14785222933913</v>
      </c>
      <c r="I240" s="0" t="n">
        <f aca="false">_xlfn.NORM.DIST(H240,$E$271,$E$272,0)</f>
        <v>0.120423396283673</v>
      </c>
      <c r="J240" s="0" t="n">
        <f aca="false">_xlfn.NORM.DIST(H240,$E$271,$E$272,1)</f>
        <v>0.986505567937416</v>
      </c>
    </row>
    <row r="241" customFormat="false" ht="12.8" hidden="false" customHeight="false" outlineLevel="0" collapsed="false">
      <c r="A241" s="0" t="n">
        <f aca="false">'Исходные данные'!A241</f>
        <v>0.554387</v>
      </c>
      <c r="B241" s="0" t="n">
        <f aca="false">'Исходные данные'!B241</f>
        <v>124.565</v>
      </c>
      <c r="H241" s="0" t="n">
        <f aca="false">H240+6*$E$272/274</f>
        <v>1.15413887674069</v>
      </c>
      <c r="I241" s="0" t="n">
        <f aca="false">_xlfn.NORM.DIST(H241,$E$271,$E$272,0)</f>
        <v>0.11470265313083</v>
      </c>
      <c r="J241" s="0" t="n">
        <f aca="false">_xlfn.NORM.DIST(H241,$E$271,$E$272,1)</f>
        <v>0.987244528886621</v>
      </c>
    </row>
    <row r="242" customFormat="false" ht="12.8" hidden="false" customHeight="false" outlineLevel="0" collapsed="false">
      <c r="A242" s="0" t="n">
        <f aca="false">'Исходные данные'!A242</f>
        <v>0.313318</v>
      </c>
      <c r="B242" s="0" t="n">
        <f aca="false">'Исходные данные'!B242</f>
        <v>124.878</v>
      </c>
      <c r="H242" s="0" t="n">
        <f aca="false">H241+6*$E$272/274</f>
        <v>1.16042552414225</v>
      </c>
      <c r="I242" s="0" t="n">
        <f aca="false">_xlfn.NORM.DIST(H242,$E$271,$E$272,0)</f>
        <v>0.109201299174556</v>
      </c>
      <c r="J242" s="0" t="n">
        <f aca="false">_xlfn.NORM.DIST(H242,$E$271,$E$272,1)</f>
        <v>0.987948217954538</v>
      </c>
    </row>
    <row r="243" customFormat="false" ht="12.8" hidden="false" customHeight="false" outlineLevel="0" collapsed="false">
      <c r="A243" s="0" t="n">
        <f aca="false">'Исходные данные'!A243</f>
        <v>0.852936</v>
      </c>
      <c r="B243" s="0" t="n">
        <f aca="false">'Исходные данные'!B243</f>
        <v>125.731</v>
      </c>
      <c r="H243" s="0" t="n">
        <f aca="false">H242+6*$E$272/274</f>
        <v>1.1667121715438</v>
      </c>
      <c r="I243" s="0" t="n">
        <f aca="false">_xlfn.NORM.DIST(H243,$E$271,$E$272,0)</f>
        <v>0.103913960295089</v>
      </c>
      <c r="J243" s="0" t="n">
        <f aca="false">_xlfn.NORM.DIST(H243,$E$271,$E$272,1)</f>
        <v>0.98861799749602</v>
      </c>
    </row>
    <row r="244" customFormat="false" ht="12.8" hidden="false" customHeight="false" outlineLevel="0" collapsed="false">
      <c r="A244" s="0" t="n">
        <f aca="false">'Исходные данные'!A244</f>
        <v>0.624761</v>
      </c>
      <c r="B244" s="0" t="n">
        <f aca="false">'Исходные данные'!B244</f>
        <v>126.356</v>
      </c>
      <c r="H244" s="0" t="n">
        <f aca="false">H243+6*$E$272/274</f>
        <v>1.17299881894536</v>
      </c>
      <c r="I244" s="0" t="n">
        <f aca="false">_xlfn.NORM.DIST(H244,$E$271,$E$272,0)</f>
        <v>0.0988352210143493</v>
      </c>
      <c r="J244" s="0" t="n">
        <f aca="false">_xlfn.NORM.DIST(H244,$E$271,$E$272,1)</f>
        <v>0.989255195944233</v>
      </c>
    </row>
    <row r="245" customFormat="false" ht="12.8" hidden="false" customHeight="false" outlineLevel="0" collapsed="false">
      <c r="A245" s="0" t="n">
        <f aca="false">'Исходные данные'!A245</f>
        <v>0.456077</v>
      </c>
      <c r="B245" s="0" t="n">
        <f aca="false">'Исходные данные'!B245</f>
        <v>126.812</v>
      </c>
      <c r="H245" s="0" t="n">
        <f aca="false">H244+6*$E$272/274</f>
        <v>1.17928546634692</v>
      </c>
      <c r="I245" s="0" t="n">
        <f aca="false">_xlfn.NORM.DIST(H245,$E$271,$E$272,0)</f>
        <v>0.0939596366281691</v>
      </c>
      <c r="J245" s="0" t="n">
        <f aca="false">_xlfn.NORM.DIST(H245,$E$271,$E$272,1)</f>
        <v>0.989861107589054</v>
      </c>
    </row>
    <row r="246" customFormat="false" ht="12.8" hidden="false" customHeight="false" outlineLevel="0" collapsed="false">
      <c r="A246" s="0" t="n">
        <f aca="false">'Исходные данные'!A246</f>
        <v>0.645857</v>
      </c>
      <c r="B246" s="0" t="n">
        <f aca="false">'Исходные данные'!B246</f>
        <v>127.458</v>
      </c>
      <c r="H246" s="0" t="n">
        <f aca="false">H245+6*$E$272/274</f>
        <v>1.18557211374848</v>
      </c>
      <c r="I246" s="0" t="n">
        <f aca="false">_xlfn.NORM.DIST(H246,$E$271,$E$272,0)</f>
        <v>0.0892817448167722</v>
      </c>
      <c r="J246" s="0" t="n">
        <f aca="false">_xlfn.NORM.DIST(H246,$E$271,$E$272,1)</f>
        <v>0.990436992430108</v>
      </c>
    </row>
    <row r="247" customFormat="false" ht="12.8" hidden="false" customHeight="false" outlineLevel="0" collapsed="false">
      <c r="A247" s="0" t="n">
        <f aca="false">'Исходные данные'!A247</f>
        <v>0.412797</v>
      </c>
      <c r="B247" s="0" t="n">
        <f aca="false">'Исходные данные'!B247</f>
        <v>127.87</v>
      </c>
      <c r="H247" s="0" t="n">
        <f aca="false">H246+6*$E$272/274</f>
        <v>1.19185876115003</v>
      </c>
      <c r="I247" s="0" t="n">
        <f aca="false">_xlfn.NORM.DIST(H247,$E$271,$E$272,0)</f>
        <v>0.0847960767264324</v>
      </c>
      <c r="J247" s="0" t="n">
        <f aca="false">_xlfn.NORM.DIST(H247,$E$271,$E$272,1)</f>
        <v>0.990984076101139</v>
      </c>
    </row>
    <row r="248" customFormat="false" ht="12.8" hidden="false" customHeight="false" outlineLevel="0" collapsed="false">
      <c r="A248" s="0" t="n">
        <f aca="false">'Исходные данные'!A248</f>
        <v>0.448331</v>
      </c>
      <c r="B248" s="0" t="n">
        <f aca="false">'Исходные данные'!B248</f>
        <v>128.319</v>
      </c>
      <c r="H248" s="0" t="n">
        <f aca="false">H247+6*$E$272/274</f>
        <v>1.19814540855159</v>
      </c>
      <c r="I248" s="0" t="n">
        <f aca="false">_xlfn.NORM.DIST(H248,$E$271,$E$272,0)</f>
        <v>0.0804971675173174</v>
      </c>
      <c r="J248" s="0" t="n">
        <f aca="false">_xlfn.NORM.DIST(H248,$E$271,$E$272,1)</f>
        <v>0.991503549862365</v>
      </c>
    </row>
    <row r="249" customFormat="false" ht="12.8" hidden="false" customHeight="false" outlineLevel="0" collapsed="false">
      <c r="A249" s="0" t="n">
        <f aca="false">'Исходные данные'!A249</f>
        <v>0.566927</v>
      </c>
      <c r="B249" s="0" t="n">
        <f aca="false">'Исходные данные'!B249</f>
        <v>128.886</v>
      </c>
      <c r="H249" s="0" t="n">
        <f aca="false">H248+6*$E$272/274</f>
        <v>1.20443205595315</v>
      </c>
      <c r="I249" s="0" t="n">
        <f aca="false">_xlfn.NORM.DIST(H249,$E$271,$E$272,0)</f>
        <v>0.076379566374519</v>
      </c>
      <c r="J249" s="0" t="n">
        <f aca="false">_xlfn.NORM.DIST(H249,$E$271,$E$272,1)</f>
        <v>0.991996570657465</v>
      </c>
    </row>
    <row r="250" customFormat="false" ht="12.8" hidden="false" customHeight="false" outlineLevel="0" collapsed="false">
      <c r="A250" s="0" t="n">
        <f aca="false">'Исходные данные'!A250</f>
        <v>0.676287</v>
      </c>
      <c r="B250" s="0" t="n">
        <f aca="false">'Исходные данные'!B250</f>
        <v>129.562</v>
      </c>
      <c r="H250" s="0" t="n">
        <f aca="false">H249+6*$E$272/274</f>
        <v>1.21071870335471</v>
      </c>
      <c r="I250" s="0" t="n">
        <f aca="false">_xlfn.NORM.DIST(H250,$E$271,$E$272,0)</f>
        <v>0.0724378459811757</v>
      </c>
      <c r="J250" s="0" t="n">
        <f aca="false">_xlfn.NORM.DIST(H250,$E$271,$E$272,1)</f>
        <v>0.992464261231808</v>
      </c>
    </row>
    <row r="251" customFormat="false" ht="12.8" hidden="false" customHeight="false" outlineLevel="0" collapsed="false">
      <c r="A251" s="0" t="n">
        <f aca="false">'Исходные данные'!A251</f>
        <v>0.827679</v>
      </c>
      <c r="B251" s="0" t="n">
        <f aca="false">'Исходные данные'!B251</f>
        <v>130.39</v>
      </c>
      <c r="H251" s="0" t="n">
        <f aca="false">H250+6*$E$272/274</f>
        <v>1.21700535075626</v>
      </c>
      <c r="I251" s="0" t="n">
        <f aca="false">_xlfn.NORM.DIST(H251,$E$271,$E$272,0)</f>
        <v>0.0686666114544065</v>
      </c>
      <c r="J251" s="0" t="n">
        <f aca="false">_xlfn.NORM.DIST(H251,$E$271,$E$272,1)</f>
        <v>0.992907710308542</v>
      </c>
    </row>
    <row r="252" customFormat="false" ht="12.8" hidden="false" customHeight="false" outlineLevel="0" collapsed="false">
      <c r="A252" s="0" t="n">
        <f aca="false">'Исходные данные'!A252</f>
        <v>0.132238</v>
      </c>
      <c r="B252" s="0" t="n">
        <f aca="false">'Исходные данные'!B252</f>
        <v>130.522</v>
      </c>
      <c r="H252" s="0" t="n">
        <f aca="false">H251+6*$E$272/274</f>
        <v>1.22329199815782</v>
      </c>
      <c r="I252" s="0" t="n">
        <f aca="false">_xlfn.NORM.DIST(H252,$E$271,$E$272,0)</f>
        <v>0.0650605087464945</v>
      </c>
      <c r="J252" s="0" t="n">
        <f aca="false">_xlfn.NORM.DIST(H252,$E$271,$E$272,1)</f>
        <v>0.993327972819188</v>
      </c>
    </row>
    <row r="253" customFormat="false" ht="12.8" hidden="false" customHeight="false" outlineLevel="0" collapsed="false">
      <c r="A253" s="0" t="n">
        <f aca="false">'Исходные данные'!A253</f>
        <v>0.617329</v>
      </c>
      <c r="B253" s="0" t="n">
        <f aca="false">'Исходные данные'!B253</f>
        <v>131.139</v>
      </c>
      <c r="H253" s="0" t="n">
        <f aca="false">H252+6*$E$272/274</f>
        <v>1.22957864555938</v>
      </c>
      <c r="I253" s="0" t="n">
        <f aca="false">_xlfn.NORM.DIST(H253,$E$271,$E$272,0)</f>
        <v>0.0616142325153823</v>
      </c>
      <c r="J253" s="0" t="n">
        <f aca="false">_xlfn.NORM.DIST(H253,$E$271,$E$272,1)</f>
        <v>0.993726070185368</v>
      </c>
    </row>
    <row r="254" customFormat="false" ht="12.8" hidden="false" customHeight="false" outlineLevel="0" collapsed="false">
      <c r="A254" s="0" t="n">
        <f aca="false">'Исходные данные'!A254</f>
        <v>0.548412</v>
      </c>
      <c r="B254" s="0" t="n">
        <f aca="false">'Исходные данные'!B254</f>
        <v>131.688</v>
      </c>
      <c r="H254" s="0" t="n">
        <f aca="false">H253+6*$E$272/274</f>
        <v>1.23586529296094</v>
      </c>
      <c r="I254" s="0" t="n">
        <f aca="false">_xlfn.NORM.DIST(H254,$E$271,$E$272,0)</f>
        <v>0.0583225334700611</v>
      </c>
      <c r="J254" s="0" t="n">
        <f aca="false">_xlfn.NORM.DIST(H254,$E$271,$E$272,1)</f>
        <v>0.994102990648363</v>
      </c>
    </row>
    <row r="255" customFormat="false" ht="12.8" hidden="false" customHeight="false" outlineLevel="0" collapsed="false">
      <c r="A255" s="0" t="n">
        <f aca="false">'Исходные данные'!A255</f>
        <v>0.981864</v>
      </c>
      <c r="B255" s="0" t="n">
        <f aca="false">'Исходные данные'!B255</f>
        <v>132.669</v>
      </c>
      <c r="H255" s="0" t="n">
        <f aca="false">H254+6*$E$272/274</f>
        <v>1.24215194036249</v>
      </c>
      <c r="I255" s="0" t="n">
        <f aca="false">_xlfn.NORM.DIST(H255,$E$271,$E$272,0)</f>
        <v>0.0551802251978629</v>
      </c>
      <c r="J255" s="0" t="n">
        <f aca="false">_xlfn.NORM.DIST(H255,$E$271,$E$272,1)</f>
        <v>0.994459689643219</v>
      </c>
    </row>
    <row r="256" customFormat="false" ht="12.8" hidden="false" customHeight="false" outlineLevel="0" collapsed="false">
      <c r="A256" s="0" t="n">
        <f aca="false">'Исходные данные'!A256</f>
        <v>0.955039</v>
      </c>
      <c r="B256" s="0" t="n">
        <f aca="false">'Исходные данные'!B256</f>
        <v>133.625</v>
      </c>
      <c r="H256" s="0" t="n">
        <f aca="false">H255+6*$E$272/274</f>
        <v>1.24843858776405</v>
      </c>
      <c r="I256" s="0" t="n">
        <f aca="false">_xlfn.NORM.DIST(H256,$E$271,$E$272,0)</f>
        <v>0.0521821904819837</v>
      </c>
      <c r="J256" s="0" t="n">
        <f aca="false">_xlfn.NORM.DIST(H256,$E$271,$E$272,1)</f>
        <v>0.99479709021416</v>
      </c>
    </row>
    <row r="257" customFormat="false" ht="12.8" hidden="false" customHeight="false" outlineLevel="0" collapsed="false">
      <c r="A257" s="0" t="n">
        <f aca="false">'Исходные данные'!A257</f>
        <v>0.634829</v>
      </c>
      <c r="B257" s="0" t="n">
        <f aca="false">'Исходные данные'!B257</f>
        <v>134.259</v>
      </c>
      <c r="H257" s="0" t="n">
        <f aca="false">H256+6*$E$272/274</f>
        <v>1.25472523516561</v>
      </c>
      <c r="I257" s="0" t="n">
        <f aca="false">_xlfn.NORM.DIST(H257,$E$271,$E$272,0)</f>
        <v>0.0493233871187892</v>
      </c>
      <c r="J257" s="0" t="n">
        <f aca="false">_xlfn.NORM.DIST(H257,$E$271,$E$272,1)</f>
        <v>0.995116083468146</v>
      </c>
    </row>
    <row r="258" customFormat="false" ht="12.8" hidden="false" customHeight="false" outlineLevel="0" collapsed="false">
      <c r="A258" s="0" t="n">
        <f aca="false">'Исходные данные'!A258</f>
        <v>0.302456</v>
      </c>
      <c r="B258" s="0" t="n">
        <f aca="false">'Исходные данные'!B258</f>
        <v>134.562</v>
      </c>
      <c r="H258" s="0" t="n">
        <f aca="false">H257+6*$E$272/274</f>
        <v>1.26101188256717</v>
      </c>
      <c r="I258" s="0" t="n">
        <f aca="false">_xlfn.NORM.DIST(H258,$E$271,$E$272,0)</f>
        <v>0.0465988532455736</v>
      </c>
      <c r="J258" s="0" t="n">
        <f aca="false">_xlfn.NORM.DIST(H258,$E$271,$E$272,1)</f>
        <v>0.995417529063452</v>
      </c>
    </row>
    <row r="259" customFormat="false" ht="12.8" hidden="false" customHeight="false" outlineLevel="0" collapsed="false">
      <c r="A259" s="0" t="n">
        <f aca="false">'Исходные данные'!A259</f>
        <v>0.119985</v>
      </c>
      <c r="B259" s="0" t="n">
        <f aca="false">'Исходные данные'!B259</f>
        <v>134.682</v>
      </c>
      <c r="H259" s="0" t="n">
        <f aca="false">H258+6*$E$272/274</f>
        <v>1.26729852996872</v>
      </c>
      <c r="I259" s="0" t="n">
        <f aca="false">_xlfn.NORM.DIST(H259,$E$271,$E$272,0)</f>
        <v>0.0440037121904629</v>
      </c>
      <c r="J259" s="0" t="n">
        <f aca="false">_xlfn.NORM.DIST(H259,$E$271,$E$272,1)</f>
        <v>0.995702255730237</v>
      </c>
    </row>
    <row r="260" customFormat="false" ht="12.8" hidden="false" customHeight="false" outlineLevel="0" collapsed="false">
      <c r="A260" s="0" t="n">
        <f aca="false">'Исходные данные'!A260</f>
        <v>0.376258</v>
      </c>
      <c r="B260" s="0" t="n">
        <f aca="false">'Исходные данные'!B260</f>
        <v>135.058</v>
      </c>
      <c r="H260" s="0" t="n">
        <f aca="false">H259+6*$E$272/274</f>
        <v>1.27358517737028</v>
      </c>
      <c r="I260" s="0" t="n">
        <f aca="false">_xlfn.NORM.DIST(H260,$E$271,$E$272,0)</f>
        <v>0.041533176857075</v>
      </c>
      <c r="J260" s="0" t="n">
        <f aca="false">_xlfn.NORM.DIST(H260,$E$271,$E$272,1)</f>
        <v>0.995971061820131</v>
      </c>
    </row>
    <row r="261" customFormat="false" ht="12.8" hidden="false" customHeight="false" outlineLevel="0" collapsed="false">
      <c r="A261" s="0" t="n">
        <f aca="false">'Исходные данные'!A261</f>
        <v>0.634369</v>
      </c>
      <c r="B261" s="0" t="n">
        <f aca="false">'Исходные данные'!B261</f>
        <v>135.692</v>
      </c>
      <c r="H261" s="0" t="n">
        <f aca="false">H260+6*$E$272/274</f>
        <v>1.27987182477184</v>
      </c>
      <c r="I261" s="0" t="n">
        <f aca="false">_xlfn.NORM.DIST(H261,$E$271,$E$272,0)</f>
        <v>0.0391825536573735</v>
      </c>
      <c r="J261" s="0" t="n">
        <f aca="false">_xlfn.NORM.DIST(H261,$E$271,$E$272,1)</f>
        <v>0.996224715881959</v>
      </c>
    </row>
    <row r="262" customFormat="false" ht="12.8" hidden="false" customHeight="false" outlineLevel="0" collapsed="false">
      <c r="A262" s="0" t="n">
        <f aca="false">'Исходные данные'!A262</f>
        <v>0.159404</v>
      </c>
      <c r="B262" s="0" t="n">
        <f aca="false">'Исходные данные'!B262</f>
        <v>135.852</v>
      </c>
      <c r="H262" s="0" t="n">
        <f aca="false">H261+6*$E$272/274</f>
        <v>1.2861584721734</v>
      </c>
      <c r="I262" s="0" t="n">
        <f aca="false">_xlfn.NORM.DIST(H262,$E$271,$E$272,0)</f>
        <v>0.0369472460068776</v>
      </c>
      <c r="J262" s="0" t="n">
        <f aca="false">_xlfn.NORM.DIST(H262,$E$271,$E$272,1)</f>
        <v>0.996463957260809</v>
      </c>
    </row>
    <row r="263" customFormat="false" ht="12.8" hidden="false" customHeight="false" outlineLevel="0" collapsed="false">
      <c r="A263" s="0" t="n">
        <f aca="false">'Исходные данные'!A263</f>
        <v>0.197509</v>
      </c>
      <c r="B263" s="0" t="n">
        <f aca="false">'Исходные данные'!B263</f>
        <v>136.049</v>
      </c>
      <c r="H263" s="0" t="n">
        <f aca="false">H262+6*$E$272/274</f>
        <v>1.29244511957495</v>
      </c>
      <c r="I263" s="0" t="n">
        <f aca="false">_xlfn.NORM.DIST(H263,$E$271,$E$272,0)</f>
        <v>0.0348227573970298</v>
      </c>
      <c r="J263" s="0" t="n">
        <f aca="false">_xlfn.NORM.DIST(H263,$E$271,$E$272,1)</f>
        <v>0.996689496717732</v>
      </c>
    </row>
    <row r="264" customFormat="false" ht="12.8" hidden="false" customHeight="false" outlineLevel="0" collapsed="false">
      <c r="A264" s="0" t="n">
        <f aca="false">'Исходные данные'!A264</f>
        <v>0.0747807</v>
      </c>
      <c r="B264" s="0" t="n">
        <f aca="false">'Исходные данные'!B264</f>
        <v>136.124</v>
      </c>
      <c r="H264" s="0" t="n">
        <f aca="false">H263+6*$E$272/274</f>
        <v>1.29873176697651</v>
      </c>
      <c r="I264" s="0" t="n">
        <f aca="false">_xlfn.NORM.DIST(H264,$E$271,$E$272,0)</f>
        <v>0.0328046940600629</v>
      </c>
      <c r="J264" s="0" t="n">
        <f aca="false">_xlfn.NORM.DIST(H264,$E$271,$E$272,1)</f>
        <v>0.99690201706747</v>
      </c>
    </row>
    <row r="265" customFormat="false" ht="12.8" hidden="false" customHeight="false" outlineLevel="0" collapsed="false">
      <c r="A265" s="0" t="n">
        <f aca="false">'Исходные данные'!A265</f>
        <v>0.0275697</v>
      </c>
      <c r="B265" s="0" t="n">
        <f aca="false">'Исходные данные'!B265</f>
        <v>136.152</v>
      </c>
      <c r="H265" s="0" t="n">
        <f aca="false">H264+6*$E$272/274</f>
        <v>1.30501841437807</v>
      </c>
      <c r="I265" s="0" t="n">
        <f aca="false">_xlfn.NORM.DIST(H265,$E$271,$E$272,0)</f>
        <v>0.030888767242166</v>
      </c>
      <c r="J265" s="0" t="n">
        <f aca="false">_xlfn.NORM.DIST(H265,$E$271,$E$272,1)</f>
        <v>0.997102173831698</v>
      </c>
    </row>
    <row r="266" customFormat="false" ht="12.8" hidden="false" customHeight="false" outlineLevel="0" collapsed="false">
      <c r="A266" s="0" t="n">
        <f aca="false">'Исходные данные'!A266</f>
        <v>0.373291</v>
      </c>
      <c r="B266" s="0" t="n">
        <f aca="false">'Исходные данные'!B266</f>
        <v>136.525</v>
      </c>
      <c r="H266" s="0" t="n">
        <f aca="false">H265+6*$E$272/274</f>
        <v>1.31130506177963</v>
      </c>
      <c r="I266" s="0" t="n">
        <f aca="false">_xlfn.NORM.DIST(H266,$E$271,$E$272,0)</f>
        <v>0.0290707951011218</v>
      </c>
      <c r="J266" s="0" t="n">
        <f aca="false">_xlfn.NORM.DIST(H266,$E$271,$E$272,1)</f>
        <v>0.99729059590537</v>
      </c>
    </row>
    <row r="267" customFormat="false" ht="12.8" hidden="false" customHeight="false" outlineLevel="0" collapsed="false">
      <c r="A267" s="0" t="n">
        <f aca="false">'Исходные данные'!A267</f>
        <v>0.350897</v>
      </c>
      <c r="B267" s="0" t="n">
        <f aca="false">'Исходные данные'!B267</f>
        <v>136.876</v>
      </c>
      <c r="H267" s="0" t="n">
        <f aca="false">H266+6*$E$272/274</f>
        <v>1.31759170918118</v>
      </c>
      <c r="I267" s="0" t="n">
        <f aca="false">_xlfn.NORM.DIST(H267,$E$271,$E$272,0)</f>
        <v>0.0273467042448737</v>
      </c>
      <c r="J267" s="0" t="n">
        <f aca="false">_xlfn.NORM.DIST(H267,$E$271,$E$272,1)</f>
        <v>0.997467886233849</v>
      </c>
    </row>
    <row r="268" customFormat="false" ht="12.8" hidden="false" customHeight="false" outlineLevel="0" collapsed="false">
      <c r="A268" s="0" t="n">
        <f aca="false">'Исходные данные'!A268</f>
        <v>0.983277</v>
      </c>
      <c r="B268" s="0" t="n">
        <f aca="false">'Исходные данные'!B268</f>
        <v>137.859</v>
      </c>
      <c r="H268" s="0" t="n">
        <f aca="false">H267+6*$E$272/274</f>
        <v>1.32387835658274</v>
      </c>
      <c r="I268" s="0" t="n">
        <f aca="false">_xlfn.NORM.DIST(H268,$E$271,$E$272,0)</f>
        <v>0.025712530927696</v>
      </c>
      <c r="J268" s="0" t="n">
        <f aca="false">_xlfn.NORM.DIST(H268,$E$271,$E$272,1)</f>
        <v>0.997634622498633</v>
      </c>
    </row>
    <row r="269" customFormat="false" ht="12.8" hidden="false" customHeight="false" outlineLevel="0" collapsed="false">
      <c r="A269" s="0" t="n">
        <f aca="false">'Исходные данные'!A269</f>
        <v>0.950717</v>
      </c>
      <c r="B269" s="0" t="n">
        <f aca="false">'Исходные данные'!B269</f>
        <v>138.81</v>
      </c>
      <c r="H269" s="0" t="n">
        <f aca="false">H268+6*$E$272/274</f>
        <v>1.3301650039843</v>
      </c>
      <c r="I269" s="0" t="n">
        <f aca="false">_xlfn.NORM.DIST(H269,$E$271,$E$272,0)</f>
        <v>0.0241644219207782</v>
      </c>
      <c r="J269" s="0" t="n">
        <f aca="false">_xlfn.NORM.DIST(H269,$E$271,$E$272,1)</f>
        <v>0.997791357809566</v>
      </c>
    </row>
    <row r="270" customFormat="false" ht="12.8" hidden="false" customHeight="false" outlineLevel="0" collapsed="false">
      <c r="A270" s="0" t="n">
        <f aca="false">'Исходные данные'!A270</f>
        <v>0.12681</v>
      </c>
      <c r="B270" s="0" t="n">
        <f aca="false">'Исходные данные'!B270</f>
        <v>138.937</v>
      </c>
      <c r="H270" s="0" t="n">
        <f aca="false">H269+6*$E$272/274</f>
        <v>1.33645165138586</v>
      </c>
      <c r="I270" s="0" t="n">
        <f aca="false">_xlfn.NORM.DIST(H270,$E$271,$E$272,0)</f>
        <v>0.0226986350740975</v>
      </c>
      <c r="J270" s="0" t="n">
        <f aca="false">_xlfn.NORM.DIST(H270,$E$271,$E$272,1)</f>
        <v>0.997938621401541</v>
      </c>
    </row>
    <row r="271" customFormat="false" ht="17.35" hidden="false" customHeight="false" outlineLevel="0" collapsed="false">
      <c r="A271" s="0" t="n">
        <f aca="false">'Исходные данные'!A271</f>
        <v>0.438711</v>
      </c>
      <c r="B271" s="0" t="n">
        <f aca="false">'Исходные данные'!B271</f>
        <v>139.375</v>
      </c>
      <c r="D271" s="3" t="s">
        <v>9</v>
      </c>
      <c r="E271" s="8" t="n">
        <f aca="false">AVERAGE(A2:A276)</f>
        <v>0.512900841781818</v>
      </c>
      <c r="H271" s="0" t="n">
        <f aca="false">H270+6*$E$272/274</f>
        <v>1.34273829878741</v>
      </c>
      <c r="I271" s="0" t="n">
        <f aca="false">_xlfn.NORM.DIST(H271,$E$271,$E$272,0)</f>
        <v>0.021311539586458</v>
      </c>
      <c r="J271" s="0" t="n">
        <f aca="false">_xlfn.NORM.DIST(H271,$E$271,$E$272,1)</f>
        <v>0.998076919333811</v>
      </c>
    </row>
    <row r="272" customFormat="false" ht="17.35" hidden="false" customHeight="false" outlineLevel="0" collapsed="false">
      <c r="A272" s="0" t="n">
        <f aca="false">'Исходные данные'!A272</f>
        <v>0.0103003</v>
      </c>
      <c r="B272" s="0" t="n">
        <f aca="false">'Исходные данные'!B272</f>
        <v>139.386</v>
      </c>
      <c r="D272" s="3" t="s">
        <v>10</v>
      </c>
      <c r="E272" s="8" t="n">
        <f aca="false">STDEV(A2:A276)</f>
        <v>0.287090231337795</v>
      </c>
      <c r="H272" s="0" t="n">
        <f aca="false">H271+6*$E$272/274</f>
        <v>1.34902494618897</v>
      </c>
      <c r="I272" s="0" t="n">
        <f aca="false">_xlfn.NORM.DIST(H272,$E$271,$E$272,0)</f>
        <v>0.0199996160005097</v>
      </c>
      <c r="J272" s="0" t="n">
        <f aca="false">_xlfn.NORM.DIST(H272,$E$271,$E$272,1)</f>
        <v>0.998206735190123</v>
      </c>
    </row>
    <row r="273" customFormat="false" ht="12.8" hidden="false" customHeight="false" outlineLevel="0" collapsed="false">
      <c r="A273" s="0" t="n">
        <f aca="false">'Исходные данные'!A273</f>
        <v>0.119403</v>
      </c>
      <c r="B273" s="0" t="n">
        <f aca="false">'Исходные данные'!B273</f>
        <v>139.505</v>
      </c>
      <c r="H273" s="0" t="n">
        <f aca="false">H272+6*$E$272/274</f>
        <v>1.35531159359053</v>
      </c>
      <c r="I273" s="0" t="n">
        <f aca="false">_xlfn.NORM.DIST(H273,$E$271,$E$272,0)</f>
        <v>0.0187594559394397</v>
      </c>
      <c r="J273" s="0" t="n">
        <f aca="false">_xlfn.NORM.DIST(H273,$E$271,$E$272,1)</f>
        <v>0.998328530778001</v>
      </c>
    </row>
    <row r="274" customFormat="false" ht="12.8" hidden="false" customHeight="false" outlineLevel="0" collapsed="false">
      <c r="A274" s="0" t="n">
        <f aca="false">'Исходные данные'!A274</f>
        <v>0.459958</v>
      </c>
      <c r="B274" s="0" t="n">
        <f aca="false">'Исходные данные'!B274</f>
        <v>139.965</v>
      </c>
      <c r="H274" s="0" t="n">
        <f aca="false">H273+6*$E$272/274</f>
        <v>1.36159824099209</v>
      </c>
      <c r="I274" s="0" t="n">
        <f aca="false">_xlfn.NORM.DIST(H274,$E$271,$E$272,0)</f>
        <v>0.0175877616018518</v>
      </c>
      <c r="J274" s="0" t="n">
        <f aca="false">_xlfn.NORM.DIST(H274,$E$271,$E$272,1)</f>
        <v>0.998442746825608</v>
      </c>
    </row>
    <row r="275" customFormat="false" ht="12.8" hidden="false" customHeight="false" outlineLevel="0" collapsed="false">
      <c r="A275" s="0" t="n">
        <f aca="false">'Исходные данные'!A275</f>
        <v>0.66878</v>
      </c>
      <c r="B275" s="0" t="n">
        <f aca="false">'Исходные данные'!B275</f>
        <v>140.634</v>
      </c>
      <c r="H275" s="0" t="n">
        <f aca="false">H274+6*$E$272/274</f>
        <v>1.36788488839364</v>
      </c>
      <c r="I275" s="0" t="n">
        <f aca="false">_xlfn.NORM.DIST(H275,$E$271,$E$272,0)</f>
        <v>0.0164813450311251</v>
      </c>
      <c r="J275" s="0" t="n">
        <f aca="false">_xlfn.NORM.DIST(H275,$E$271,$E$272,1)</f>
        <v>0.998549803674707</v>
      </c>
    </row>
    <row r="276" customFormat="false" ht="17.35" hidden="false" customHeight="false" outlineLevel="0" collapsed="false">
      <c r="A276" s="0" t="n">
        <f aca="false">'Исходные данные'!A276</f>
        <v>0.413887</v>
      </c>
      <c r="B276" s="0" t="n">
        <f aca="false">'Исходные данные'!B276</f>
        <v>141.048</v>
      </c>
      <c r="F276" s="1" t="s">
        <v>11</v>
      </c>
      <c r="G276" s="0" t="n">
        <f aca="false">(E271+3*E272)</f>
        <v>1.3741715357952</v>
      </c>
      <c r="H276" s="0" t="n">
        <f aca="false">H275+6*$E$272/274</f>
        <v>1.3741715357952</v>
      </c>
      <c r="I276" s="0" t="n">
        <f aca="false">_xlfn.NORM.DIST(H276,$E$271,$E$272,0)</f>
        <v>0.015437127175266</v>
      </c>
      <c r="J276" s="0" t="n">
        <f aca="false">_xlfn.NORM.DIST(H276,$E$271,$E$272,1)</f>
        <v>0.99865010196837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1"/>
  <sheetViews>
    <sheetView showFormulas="false" showGridLines="true" showRowColHeaders="true" showZeros="true" rightToLeft="false" tabSelected="false" showOutlineSymbols="true" defaultGridColor="true" view="normal" topLeftCell="A338" colorId="64" zoomScale="120" zoomScaleNormal="120" zoomScalePageLayoutView="100" workbookViewId="0">
      <selection pane="topLeft" activeCell="J378" activeCellId="0" sqref="J378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7.85"/>
    <col collapsed="false" customWidth="true" hidden="false" outlineLevel="0" max="7" min="7" style="0" width="17.85"/>
    <col collapsed="false" customWidth="true" hidden="false" outlineLevel="0" max="8" min="8" style="0" width="21.68"/>
    <col collapsed="false" customWidth="true" hidden="false" outlineLevel="0" max="9" min="9" style="0" width="36.58"/>
    <col collapsed="false" customWidth="true" hidden="false" outlineLevel="0" max="10" min="10" style="0" width="32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/>
      <c r="F1" s="2"/>
      <c r="H1" s="1" t="s">
        <v>5</v>
      </c>
      <c r="I1" s="1" t="s">
        <v>6</v>
      </c>
      <c r="J1" s="1" t="s">
        <v>7</v>
      </c>
    </row>
    <row r="2" customFormat="false" ht="17.35" hidden="false" customHeight="false" outlineLevel="0" collapsed="false">
      <c r="A2" s="0" t="n">
        <f aca="false">'Исходные данные'!A2</f>
        <v>0.59931</v>
      </c>
      <c r="B2" s="0" t="n">
        <f aca="false">'Исходные данные'!B2</f>
        <v>0.59931</v>
      </c>
      <c r="F2" s="1" t="s">
        <v>8</v>
      </c>
      <c r="G2" s="0" t="n">
        <f aca="false">(E346-3*E347)</f>
        <v>-0.349537935696001</v>
      </c>
      <c r="H2" s="0" t="n">
        <f aca="false">(E346-3*E347)</f>
        <v>-0.349537935696001</v>
      </c>
      <c r="I2" s="0" t="n">
        <f aca="false">_xlfn.NORM.DIST(H2,$E$346,$E$347,0)</f>
        <v>0.0153549982636958</v>
      </c>
      <c r="J2" s="0" t="n">
        <f aca="false">_xlfn.NORM.DIST(H2,$E$346,$E$347,1)</f>
        <v>0.00134989803163009</v>
      </c>
    </row>
    <row r="3" customFormat="false" ht="12.8" hidden="false" customHeight="false" outlineLevel="0" collapsed="false">
      <c r="A3" s="0" t="n">
        <f aca="false">'Исходные данные'!A3</f>
        <v>0.52672</v>
      </c>
      <c r="B3" s="0" t="n">
        <f aca="false">'Исходные данные'!B3</f>
        <v>1.12603</v>
      </c>
      <c r="H3" s="0" t="n">
        <f aca="false">H2+6*$E$347/349</f>
        <v>-0.344575887833806</v>
      </c>
      <c r="I3" s="0" t="n">
        <f aca="false">_xlfn.NORM.DIST(H3,$E$346,$E$347,0)</f>
        <v>0.0161653358933108</v>
      </c>
      <c r="J3" s="0" t="n">
        <f aca="false">_xlfn.NORM.DIST(H3,$E$346,$E$347,1)</f>
        <v>0.00142808542899446</v>
      </c>
    </row>
    <row r="4" customFormat="false" ht="12.8" hidden="false" customHeight="false" outlineLevel="0" collapsed="false">
      <c r="A4" s="0" t="n">
        <f aca="false">'Исходные данные'!A4</f>
        <v>0.39169</v>
      </c>
      <c r="B4" s="0" t="n">
        <f aca="false">'Исходные данные'!B4</f>
        <v>1.51772</v>
      </c>
      <c r="H4" s="0" t="n">
        <f aca="false">H3+6*$E$347/349</f>
        <v>-0.33961383997161</v>
      </c>
      <c r="I4" s="0" t="n">
        <f aca="false">_xlfn.NORM.DIST(H4,$E$346,$E$347,0)</f>
        <v>0.017013408613407</v>
      </c>
      <c r="J4" s="0" t="n">
        <f aca="false">_xlfn.NORM.DIST(H4,$E$346,$E$347,1)</f>
        <v>0.00151038678465356</v>
      </c>
    </row>
    <row r="5" customFormat="false" ht="12.8" hidden="false" customHeight="false" outlineLevel="0" collapsed="false">
      <c r="A5" s="0" t="n">
        <f aca="false">'Исходные данные'!A5</f>
        <v>0.996682</v>
      </c>
      <c r="B5" s="0" t="n">
        <f aca="false">'Исходные данные'!B5</f>
        <v>2.5144</v>
      </c>
      <c r="H5" s="0" t="n">
        <f aca="false">H4+6*$E$347/349</f>
        <v>-0.334651792109414</v>
      </c>
      <c r="I5" s="0" t="n">
        <f aca="false">_xlfn.NORM.DIST(H5,$E$346,$E$347,0)</f>
        <v>0.0179006817044743</v>
      </c>
      <c r="J5" s="0" t="n">
        <f aca="false">_xlfn.NORM.DIST(H5,$E$346,$E$347,1)</f>
        <v>0.00159699296045115</v>
      </c>
    </row>
    <row r="6" customFormat="false" ht="12.8" hidden="false" customHeight="false" outlineLevel="0" collapsed="false">
      <c r="A6" s="0" t="n">
        <f aca="false">'Исходные данные'!A6</f>
        <v>0.574168</v>
      </c>
      <c r="B6" s="0" t="n">
        <f aca="false">'Исходные данные'!B6</f>
        <v>3.08857</v>
      </c>
      <c r="H6" s="0" t="n">
        <f aca="false">H5+6*$E$347/349</f>
        <v>-0.329689744247219</v>
      </c>
      <c r="I6" s="0" t="n">
        <f aca="false">_xlfn.NORM.DIST(H6,$E$346,$E$347,0)</f>
        <v>0.0188286614316922</v>
      </c>
      <c r="J6" s="0" t="n">
        <f aca="false">_xlfn.NORM.DIST(H6,$E$346,$E$347,1)</f>
        <v>0.00168810219056917</v>
      </c>
    </row>
    <row r="7" customFormat="false" ht="12.8" hidden="false" customHeight="false" outlineLevel="0" collapsed="false">
      <c r="A7" s="0" t="n">
        <f aca="false">'Исходные данные'!A7</f>
        <v>0.51831</v>
      </c>
      <c r="B7" s="0" t="n">
        <f aca="false">'Исходные данные'!B7</f>
        <v>3.60688</v>
      </c>
      <c r="H7" s="0" t="n">
        <f aca="false">H6+6*$E$347/349</f>
        <v>-0.324727696385023</v>
      </c>
      <c r="I7" s="0" t="n">
        <f aca="false">_xlfn.NORM.DIST(H7,$E$346,$E$347,0)</f>
        <v>0.0197988953556986</v>
      </c>
      <c r="J7" s="0" t="n">
        <f aca="false">_xlfn.NORM.DIST(H7,$E$346,$E$347,1)</f>
        <v>0.00178392028568536</v>
      </c>
    </row>
    <row r="8" customFormat="false" ht="12.8" hidden="false" customHeight="false" outlineLevel="0" collapsed="false">
      <c r="A8" s="0" t="n">
        <f aca="false">'Исходные данные'!A8</f>
        <v>0.530825</v>
      </c>
      <c r="B8" s="0" t="n">
        <f aca="false">'Исходные данные'!B8</f>
        <v>4.13771</v>
      </c>
      <c r="H8" s="0" t="n">
        <f aca="false">H7+6*$E$347/349</f>
        <v>-0.319765648522827</v>
      </c>
      <c r="I8" s="0" t="n">
        <f aca="false">_xlfn.NORM.DIST(H8,$E$346,$E$347,0)</f>
        <v>0.0208129725969323</v>
      </c>
      <c r="J8" s="0" t="n">
        <f aca="false">_xlfn.NORM.DIST(H8,$E$346,$E$347,1)</f>
        <v>0.00188466083855895</v>
      </c>
    </row>
    <row r="9" customFormat="false" ht="12.8" hidden="false" customHeight="false" outlineLevel="0" collapsed="false">
      <c r="A9" s="0" t="n">
        <f aca="false">'Исходные данные'!A9</f>
        <v>0.624686</v>
      </c>
      <c r="B9" s="0" t="n">
        <f aca="false">'Исходные данные'!B9</f>
        <v>4.76239</v>
      </c>
      <c r="H9" s="0" t="n">
        <f aca="false">H8+6*$E$347/349</f>
        <v>-0.314803600660632</v>
      </c>
      <c r="I9" s="0" t="n">
        <f aca="false">_xlfn.NORM.DIST(H9,$E$346,$E$347,0)</f>
        <v>0.0218725240506618</v>
      </c>
      <c r="J9" s="0" t="n">
        <f aca="false">_xlfn.NORM.DIST(H9,$E$346,$E$347,1)</f>
        <v>0.00199054543080687</v>
      </c>
    </row>
    <row r="10" customFormat="false" ht="12.8" hidden="false" customHeight="false" outlineLevel="0" collapsed="false">
      <c r="A10" s="0" t="n">
        <f aca="false">'Исходные данные'!A10</f>
        <v>0.134262</v>
      </c>
      <c r="B10" s="0" t="n">
        <f aca="false">'Исходные данные'!B10</f>
        <v>4.89665</v>
      </c>
      <c r="H10" s="0" t="n">
        <f aca="false">H9+6*$E$347/349</f>
        <v>-0.309841552798436</v>
      </c>
      <c r="I10" s="0" t="n">
        <f aca="false">_xlfn.NORM.DIST(H10,$E$346,$E$347,0)</f>
        <v>0.0229792225497686</v>
      </c>
      <c r="J10" s="0" t="n">
        <f aca="false">_xlfn.NORM.DIST(H10,$E$346,$E$347,1)</f>
        <v>0.00210180384061852</v>
      </c>
    </row>
    <row r="11" customFormat="false" ht="12.8" hidden="false" customHeight="false" outlineLevel="0" collapsed="false">
      <c r="A11" s="0" t="n">
        <f aca="false">'Исходные данные'!A11</f>
        <v>0.311794</v>
      </c>
      <c r="B11" s="0" t="n">
        <f aca="false">'Исходные данные'!B11</f>
        <v>5.20845</v>
      </c>
      <c r="H11" s="0" t="n">
        <f aca="false">H10+6*$E$347/349</f>
        <v>-0.30487950493624</v>
      </c>
      <c r="I11" s="0" t="n">
        <f aca="false">_xlfn.NORM.DIST(H11,$E$346,$E$347,0)</f>
        <v>0.0241347829723135</v>
      </c>
      <c r="J11" s="0" t="n">
        <f aca="false">_xlfn.NORM.DIST(H11,$E$346,$E$347,1)</f>
        <v>0.00221867425114254</v>
      </c>
    </row>
    <row r="12" customFormat="false" ht="12.8" hidden="false" customHeight="false" outlineLevel="0" collapsed="false">
      <c r="A12" s="0" t="n">
        <f aca="false">'Исходные данные'!A12</f>
        <v>0.533984</v>
      </c>
      <c r="B12" s="0" t="n">
        <f aca="false">'Исходные данные'!B12</f>
        <v>5.74243</v>
      </c>
      <c r="H12" s="0" t="n">
        <f aca="false">H11+6*$E$347/349</f>
        <v>-0.299917457074045</v>
      </c>
      <c r="I12" s="0" t="n">
        <f aca="false">_xlfn.NORM.DIST(H12,$E$346,$E$347,0)</f>
        <v>0.0253409622908804</v>
      </c>
      <c r="J12" s="0" t="n">
        <f aca="false">_xlfn.NORM.DIST(H12,$E$346,$E$347,1)</f>
        <v>0.00234140345926416</v>
      </c>
    </row>
    <row r="13" customFormat="false" ht="12.8" hidden="false" customHeight="false" outlineLevel="0" collapsed="false">
      <c r="A13" s="0" t="n">
        <f aca="false">'Исходные данные'!A13</f>
        <v>0.440809</v>
      </c>
      <c r="B13" s="0" t="n">
        <f aca="false">'Исходные данные'!B13</f>
        <v>6.18324</v>
      </c>
      <c r="H13" s="0" t="n">
        <f aca="false">H12+6*$E$347/349</f>
        <v>-0.294955409211849</v>
      </c>
      <c r="I13" s="0" t="n">
        <f aca="false">_xlfn.NORM.DIST(H13,$E$346,$E$347,0)</f>
        <v>0.0265995595606617</v>
      </c>
      <c r="J13" s="0" t="n">
        <f aca="false">_xlfn.NORM.DIST(H13,$E$346,$E$347,1)</f>
        <v>0.0024702470844766</v>
      </c>
    </row>
    <row r="14" customFormat="false" ht="12.8" hidden="false" customHeight="false" outlineLevel="0" collapsed="false">
      <c r="A14" s="0" t="n">
        <f aca="false">'Исходные данные'!A14</f>
        <v>0.063503</v>
      </c>
      <c r="B14" s="0" t="n">
        <f aca="false">'Исходные данные'!B14</f>
        <v>6.24674</v>
      </c>
      <c r="H14" s="0" t="n">
        <f aca="false">H13+6*$E$347/349</f>
        <v>-0.289993361349653</v>
      </c>
      <c r="I14" s="0" t="n">
        <f aca="false">_xlfn.NORM.DIST(H14,$E$346,$E$347,0)</f>
        <v>0.0279124158432275</v>
      </c>
      <c r="J14" s="0" t="n">
        <f aca="false">_xlfn.NORM.DIST(H14,$E$346,$E$347,1)</f>
        <v>0.0026054697775351</v>
      </c>
    </row>
    <row r="15" customFormat="false" ht="12.8" hidden="false" customHeight="false" outlineLevel="0" collapsed="false">
      <c r="A15" s="0" t="n">
        <f aca="false">'Исходные данные'!A15</f>
        <v>0.872792</v>
      </c>
      <c r="B15" s="0" t="n">
        <f aca="false">'Исходные данные'!B15</f>
        <v>7.11953</v>
      </c>
      <c r="H15" s="0" t="n">
        <f aca="false">H14+6*$E$347/349</f>
        <v>-0.285031313487458</v>
      </c>
      <c r="I15" s="0" t="n">
        <f aca="false">_xlfn.NORM.DIST(H15,$E$346,$E$347,0)</f>
        <v>0.0292814140629025</v>
      </c>
      <c r="J15" s="0" t="n">
        <f aca="false">_xlfn.NORM.DIST(H15,$E$346,$E$347,1)</f>
        <v>0.00274734542856675</v>
      </c>
    </row>
    <row r="16" customFormat="false" ht="12.8" hidden="false" customHeight="false" outlineLevel="0" collapsed="false">
      <c r="A16" s="0" t="n">
        <f aca="false">'Исходные данные'!A16</f>
        <v>0.224759</v>
      </c>
      <c r="B16" s="0" t="n">
        <f aca="false">'Исходные данные'!B16</f>
        <v>7.34429</v>
      </c>
      <c r="H16" s="0" t="n">
        <f aca="false">H15+6*$E$347/349</f>
        <v>-0.280069265625262</v>
      </c>
      <c r="I16" s="0" t="n">
        <f aca="false">_xlfn.NORM.DIST(H16,$E$346,$E$347,0)</f>
        <v>0.0307084787926661</v>
      </c>
      <c r="J16" s="0" t="n">
        <f aca="false">_xlfn.NORM.DIST(H16,$E$346,$E$347,1)</f>
        <v>0.00289615737429407</v>
      </c>
    </row>
    <row r="17" customFormat="false" ht="12.8" hidden="false" customHeight="false" outlineLevel="0" collapsed="false">
      <c r="A17" s="0" t="n">
        <f aca="false">'Исходные данные'!A17</f>
        <v>0.202601</v>
      </c>
      <c r="B17" s="0" t="n">
        <f aca="false">'Исходные данные'!B17</f>
        <v>7.54689</v>
      </c>
      <c r="H17" s="0" t="n">
        <f aca="false">H16+6*$E$347/349</f>
        <v>-0.275107217763066</v>
      </c>
      <c r="I17" s="0" t="n">
        <f aca="false">_xlfn.NORM.DIST(H17,$E$346,$E$347,0)</f>
        <v>0.0321955759664852</v>
      </c>
      <c r="J17" s="0" t="n">
        <f aca="false">_xlfn.NORM.DIST(H17,$E$346,$E$347,1)</f>
        <v>0.00305219860401501</v>
      </c>
    </row>
    <row r="18" customFormat="false" ht="12.8" hidden="false" customHeight="false" outlineLevel="0" collapsed="false">
      <c r="A18" s="0" t="n">
        <f aca="false">'Исходные данные'!A18</f>
        <v>0.700437</v>
      </c>
      <c r="B18" s="0" t="n">
        <f aca="false">'Исходные данные'!B18</f>
        <v>8.24733</v>
      </c>
      <c r="H18" s="0" t="n">
        <f aca="false">H17+6*$E$347/349</f>
        <v>-0.270145169900871</v>
      </c>
      <c r="I18" s="0" t="n">
        <f aca="false">_xlfn.NORM.DIST(H18,$E$346,$E$347,0)</f>
        <v>0.0337447125149951</v>
      </c>
      <c r="J18" s="0" t="n">
        <f aca="false">_xlfn.NORM.DIST(H18,$E$346,$E$347,1)</f>
        <v>0.00321577196396654</v>
      </c>
    </row>
    <row r="19" customFormat="false" ht="12.8" hidden="false" customHeight="false" outlineLevel="0" collapsed="false">
      <c r="A19" s="0" t="n">
        <f aca="false">'Исходные данные'!A19</f>
        <v>0.488813</v>
      </c>
      <c r="B19" s="0" t="n">
        <f aca="false">'Исходные данные'!B19</f>
        <v>8.73615</v>
      </c>
      <c r="H19" s="0" t="n">
        <f aca="false">H18+6*$E$347/349</f>
        <v>-0.265183122038675</v>
      </c>
      <c r="I19" s="0" t="n">
        <f aca="false">_xlfn.NORM.DIST(H19,$E$346,$E$347,0)</f>
        <v>0.0353579359214556</v>
      </c>
      <c r="J19" s="0" t="n">
        <f aca="false">_xlfn.NORM.DIST(H19,$E$346,$E$347,1)</f>
        <v>0.00338719035968404</v>
      </c>
    </row>
    <row r="20" customFormat="false" ht="12.8" hidden="false" customHeight="false" outlineLevel="0" collapsed="false">
      <c r="A20" s="0" t="n">
        <f aca="false">'Исходные данные'!A20</f>
        <v>0.198562</v>
      </c>
      <c r="B20" s="0" t="n">
        <f aca="false">'Исходные данные'!B20</f>
        <v>8.93471</v>
      </c>
      <c r="H20" s="0" t="n">
        <f aca="false">H19+6*$E$347/349</f>
        <v>-0.260221074176479</v>
      </c>
      <c r="I20" s="0" t="n">
        <f aca="false">_xlfn.NORM.DIST(H20,$E$346,$E$347,0)</f>
        <v>0.0370373336949266</v>
      </c>
      <c r="J20" s="0" t="n">
        <f aca="false">_xlfn.NORM.DIST(H20,$E$346,$E$347,1)</f>
        <v>0.00356677695595316</v>
      </c>
    </row>
    <row r="21" customFormat="false" ht="12.8" hidden="false" customHeight="false" outlineLevel="0" collapsed="false">
      <c r="A21" s="0" t="n">
        <f aca="false">'Исходные данные'!A21</f>
        <v>0.709845</v>
      </c>
      <c r="B21" s="0" t="n">
        <f aca="false">'Исходные данные'!B21</f>
        <v>9.64455</v>
      </c>
      <c r="H21" s="0" t="n">
        <f aca="false">H20+6*$E$347/349</f>
        <v>-0.255259026314284</v>
      </c>
      <c r="I21" s="0" t="n">
        <f aca="false">_xlfn.NORM.DIST(H21,$E$346,$E$347,0)</f>
        <v>0.0387850327576377</v>
      </c>
      <c r="J21" s="0" t="n">
        <f aca="false">_xlfn.NORM.DIST(H21,$E$346,$E$347,1)</f>
        <v>0.00375486537393587</v>
      </c>
    </row>
    <row r="22" customFormat="false" ht="12.8" hidden="false" customHeight="false" outlineLevel="0" collapsed="false">
      <c r="A22" s="0" t="n">
        <f aca="false">'Исходные данные'!A22</f>
        <v>0.817932</v>
      </c>
      <c r="B22" s="0" t="n">
        <f aca="false">'Исходные данные'!B22</f>
        <v>10.4625</v>
      </c>
      <c r="H22" s="0" t="n">
        <f aca="false">H21+6*$E$347/349</f>
        <v>-0.250296978452088</v>
      </c>
      <c r="I22" s="0" t="n">
        <f aca="false">_xlfn.NORM.DIST(H22,$E$346,$E$347,0)</f>
        <v>0.0406031987435633</v>
      </c>
      <c r="J22" s="0" t="n">
        <f aca="false">_xlfn.NORM.DIST(H22,$E$346,$E$347,1)</f>
        <v>0.00395179988503762</v>
      </c>
    </row>
    <row r="23" customFormat="false" ht="12.8" hidden="false" customHeight="false" outlineLevel="0" collapsed="false">
      <c r="A23" s="0" t="n">
        <f aca="false">'Исходные данные'!A23</f>
        <v>0.0212862</v>
      </c>
      <c r="B23" s="0" t="n">
        <f aca="false">'Исходные данные'!B23</f>
        <v>10.4838</v>
      </c>
      <c r="H23" s="0" t="n">
        <f aca="false">H22+6*$E$347/349</f>
        <v>-0.245334930589892</v>
      </c>
      <c r="I23" s="0" t="n">
        <f aca="false">_xlfn.NORM.DIST(H23,$E$346,$E$347,0)</f>
        <v>0.0424940352052568</v>
      </c>
      <c r="J23" s="0" t="n">
        <f aca="false">_xlfn.NORM.DIST(H23,$E$346,$E$347,1)</f>
        <v>0.0041579356010675</v>
      </c>
    </row>
    <row r="24" customFormat="false" ht="12.8" hidden="false" customHeight="false" outlineLevel="0" collapsed="false">
      <c r="A24" s="0" t="n">
        <f aca="false">'Исходные данные'!A24</f>
        <v>0.944932</v>
      </c>
      <c r="B24" s="0" t="n">
        <f aca="false">'Исходные данные'!B24</f>
        <v>11.4287</v>
      </c>
      <c r="H24" s="0" t="n">
        <f aca="false">H23+6*$E$347/349</f>
        <v>-0.240372882727697</v>
      </c>
      <c r="I24" s="0" t="n">
        <f aca="false">_xlfn.NORM.DIST(H24,$E$346,$E$347,0)</f>
        <v>0.044459782726057</v>
      </c>
      <c r="J24" s="0" t="n">
        <f aca="false">_xlfn.NORM.DIST(H24,$E$346,$E$347,1)</f>
        <v>0.00437363866022915</v>
      </c>
    </row>
    <row r="25" customFormat="false" ht="12.8" hidden="false" customHeight="false" outlineLevel="0" collapsed="false">
      <c r="A25" s="0" t="n">
        <f aca="false">'Исходные данные'!A25</f>
        <v>0.371683</v>
      </c>
      <c r="B25" s="0" t="n">
        <f aca="false">'Исходные данные'!B25</f>
        <v>11.8004</v>
      </c>
      <c r="H25" s="0" t="n">
        <f aca="false">H24+6*$E$347/349</f>
        <v>-0.235410834865501</v>
      </c>
      <c r="I25" s="0" t="n">
        <f aca="false">_xlfn.NORM.DIST(H25,$E$346,$E$347,0)</f>
        <v>0.0465027179348398</v>
      </c>
      <c r="J25" s="0" t="n">
        <f aca="false">_xlfn.NORM.DIST(H25,$E$346,$E$347,1)</f>
        <v>0.00459928640846575</v>
      </c>
    </row>
    <row r="26" customFormat="false" ht="12.8" hidden="false" customHeight="false" outlineLevel="0" collapsed="false">
      <c r="A26" s="0" t="n">
        <f aca="false">'Исходные данные'!A26</f>
        <v>0.878309</v>
      </c>
      <c r="B26" s="0" t="n">
        <f aca="false">'Исходные данные'!B26</f>
        <v>12.6787</v>
      </c>
      <c r="H26" s="0" t="n">
        <f aca="false">H25+6*$E$347/349</f>
        <v>-0.230448787003305</v>
      </c>
      <c r="I26" s="0" t="n">
        <f aca="false">_xlfn.NORM.DIST(H26,$E$346,$E$347,0)</f>
        <v>0.0486251524205667</v>
      </c>
      <c r="J26" s="0" t="n">
        <f aca="false">_xlfn.NORM.DIST(H26,$E$346,$E$347,1)</f>
        <v>0.00483526757566862</v>
      </c>
    </row>
    <row r="27" customFormat="false" ht="12.8" hidden="false" customHeight="false" outlineLevel="0" collapsed="false">
      <c r="A27" s="0" t="n">
        <f aca="false">'Исходные данные'!A27</f>
        <v>0.602046</v>
      </c>
      <c r="B27" s="0" t="n">
        <f aca="false">'Исходные данные'!B27</f>
        <v>13.2807</v>
      </c>
      <c r="H27" s="0" t="n">
        <f aca="false">H26+6*$E$347/349</f>
        <v>-0.22548673914111</v>
      </c>
      <c r="I27" s="0" t="n">
        <f aca="false">_xlfn.NORM.DIST(H27,$E$346,$E$347,0)</f>
        <v>0.0508294315439611</v>
      </c>
      <c r="J27" s="0" t="n">
        <f aca="false">_xlfn.NORM.DIST(H27,$E$346,$E$347,1)</f>
        <v>0.00508198244624569</v>
      </c>
    </row>
    <row r="28" customFormat="false" ht="12.8" hidden="false" customHeight="false" outlineLevel="0" collapsed="false">
      <c r="A28" s="0" t="n">
        <f aca="false">'Исходные данные'!A28</f>
        <v>0.820565</v>
      </c>
      <c r="B28" s="0" t="n">
        <f aca="false">'Исходные данные'!B28</f>
        <v>14.1013</v>
      </c>
      <c r="H28" s="0" t="n">
        <f aca="false">H27+6*$E$347/349</f>
        <v>-0.220524691278914</v>
      </c>
      <c r="I28" s="0" t="n">
        <f aca="false">_xlfn.NORM.DIST(H28,$E$346,$E$347,0)</f>
        <v>0.0531179331437449</v>
      </c>
      <c r="J28" s="0" t="n">
        <f aca="false">_xlfn.NORM.DIST(H28,$E$346,$E$347,1)</f>
        <v>0.00533984302353285</v>
      </c>
    </row>
    <row r="29" customFormat="false" ht="12.8" hidden="false" customHeight="false" outlineLevel="0" collapsed="false">
      <c r="A29" s="0" t="n">
        <f aca="false">'Исходные данные'!A29</f>
        <v>0.101819</v>
      </c>
      <c r="B29" s="0" t="n">
        <f aca="false">'Исходные данные'!B29</f>
        <v>14.2031</v>
      </c>
      <c r="H29" s="0" t="n">
        <f aca="false">H28+6*$E$347/349</f>
        <v>-0.215562643416718</v>
      </c>
      <c r="I29" s="0" t="n">
        <f aca="false">_xlfn.NORM.DIST(H29,$E$346,$E$347,0)</f>
        <v>0.0554930661349645</v>
      </c>
      <c r="J29" s="0" t="n">
        <f aca="false">_xlfn.NORM.DIST(H29,$E$346,$E$347,1)</f>
        <v>0.00560927318751885</v>
      </c>
    </row>
    <row r="30" customFormat="false" ht="12.8" hidden="false" customHeight="false" outlineLevel="0" collapsed="false">
      <c r="A30" s="0" t="n">
        <f aca="false">'Исходные данные'!A30</f>
        <v>0.820174</v>
      </c>
      <c r="B30" s="0" t="n">
        <f aca="false">'Исходные данные'!B30</f>
        <v>15.0233</v>
      </c>
      <c r="H30" s="0" t="n">
        <f aca="false">H29+6*$E$347/349</f>
        <v>-0.210600595554523</v>
      </c>
      <c r="I30" s="0" t="n">
        <f aca="false">_xlfn.NORM.DIST(H30,$E$346,$E$347,0)</f>
        <v>0.0579572689970603</v>
      </c>
      <c r="J30" s="0" t="n">
        <f aca="false">_xlfn.NORM.DIST(H30,$E$346,$E$347,1)</f>
        <v>0.00589070884534248</v>
      </c>
    </row>
    <row r="31" customFormat="false" ht="12.8" hidden="false" customHeight="false" outlineLevel="0" collapsed="false">
      <c r="A31" s="0" t="n">
        <f aca="false">'Исходные данные'!A31</f>
        <v>0.286249</v>
      </c>
      <c r="B31" s="0" t="n">
        <f aca="false">'Исходные данные'!B31</f>
        <v>15.3095</v>
      </c>
      <c r="H31" s="0" t="n">
        <f aca="false">H30+6*$E$347/349</f>
        <v>-0.205638547692327</v>
      </c>
      <c r="I31" s="0" t="n">
        <f aca="false">_xlfn.NORM.DIST(H31,$E$346,$E$347,0)</f>
        <v>0.060513008149453</v>
      </c>
      <c r="J31" s="0" t="n">
        <f aca="false">_xlfn.NORM.DIST(H31,$E$346,$E$347,1)</f>
        <v>0.00618459807400917</v>
      </c>
    </row>
    <row r="32" customFormat="false" ht="12.8" hidden="false" customHeight="false" outlineLevel="0" collapsed="false">
      <c r="A32" s="0" t="n">
        <f aca="false">'Исходные данные'!A32</f>
        <v>0.993986</v>
      </c>
      <c r="B32" s="0" t="n">
        <f aca="false">'Исходные данные'!B32</f>
        <v>16.3035</v>
      </c>
      <c r="H32" s="0" t="n">
        <f aca="false">H31+6*$E$347/349</f>
        <v>-0.200676499830131</v>
      </c>
      <c r="I32" s="0" t="n">
        <f aca="false">_xlfn.NORM.DIST(H32,$E$346,$E$347,0)</f>
        <v>0.063162776212565</v>
      </c>
      <c r="J32" s="0" t="n">
        <f aca="false">_xlfn.NORM.DIST(H32,$E$346,$E$347,1)</f>
        <v>0.00649140125476396</v>
      </c>
    </row>
    <row r="33" customFormat="false" ht="12.8" hidden="false" customHeight="false" outlineLevel="0" collapsed="false">
      <c r="A33" s="0" t="n">
        <f aca="false">'Исходные данные'!A33</f>
        <v>0.20081</v>
      </c>
      <c r="B33" s="0" t="n">
        <f aca="false">'Исходные данные'!B33</f>
        <v>16.5043</v>
      </c>
      <c r="H33" s="0" t="n">
        <f aca="false">H32+6*$E$347/349</f>
        <v>-0.195714451967936</v>
      </c>
      <c r="I33" s="0" t="n">
        <f aca="false">_xlfn.NORM.DIST(H33,$E$346,$E$347,0)</f>
        <v>0.0659090901523375</v>
      </c>
      <c r="J33" s="0" t="n">
        <f aca="false">_xlfn.NORM.DIST(H33,$E$346,$E$347,1)</f>
        <v>0.00681159119854704</v>
      </c>
    </row>
    <row r="34" customFormat="false" ht="12.8" hidden="false" customHeight="false" outlineLevel="0" collapsed="false">
      <c r="A34" s="0" t="n">
        <f aca="false">'Исходные данные'!A34</f>
        <v>0.722026</v>
      </c>
      <c r="B34" s="0" t="n">
        <f aca="false">'Исходные данные'!B34</f>
        <v>17.2264</v>
      </c>
      <c r="H34" s="0" t="n">
        <f aca="false">H33+6*$E$347/349</f>
        <v>-0.19075240410574</v>
      </c>
      <c r="I34" s="0" t="n">
        <f aca="false">_xlfn.NORM.DIST(H34,$E$346,$E$347,0)</f>
        <v>0.0687544893064717</v>
      </c>
      <c r="J34" s="0" t="n">
        <f aca="false">_xlfn.NORM.DIST(H34,$E$346,$E$347,1)</f>
        <v>0.00714565326194985</v>
      </c>
    </row>
    <row r="35" customFormat="false" ht="12.8" hidden="false" customHeight="false" outlineLevel="0" collapsed="false">
      <c r="A35" s="0" t="n">
        <f aca="false">'Исходные данные'!A35</f>
        <v>0.553061</v>
      </c>
      <c r="B35" s="0" t="n">
        <f aca="false">'Исходные данные'!B35</f>
        <v>17.7794</v>
      </c>
      <c r="H35" s="0" t="n">
        <f aca="false">H34+6*$E$347/349</f>
        <v>-0.185790356243544</v>
      </c>
      <c r="I35" s="0" t="n">
        <f aca="false">_xlfn.NORM.DIST(H35,$E$346,$E$347,0)</f>
        <v>0.071701533290788</v>
      </c>
      <c r="J35" s="0" t="n">
        <f aca="false">_xlfn.NORM.DIST(H35,$E$346,$E$347,1)</f>
        <v>0.00749408545308019</v>
      </c>
    </row>
    <row r="36" customFormat="false" ht="12.8" hidden="false" customHeight="false" outlineLevel="0" collapsed="false">
      <c r="A36" s="0" t="n">
        <f aca="false">'Исходные данные'!A36</f>
        <v>0.423688</v>
      </c>
      <c r="B36" s="0" t="n">
        <f aca="false">'Исходные данные'!B36</f>
        <v>18.2031</v>
      </c>
      <c r="H36" s="0" t="n">
        <f aca="false">H35+6*$E$347/349</f>
        <v>-0.180828308381349</v>
      </c>
      <c r="I36" s="0" t="n">
        <f aca="false">_xlfn.NORM.DIST(H36,$E$346,$E$347,0)</f>
        <v>0.0747527997842844</v>
      </c>
      <c r="J36" s="0" t="n">
        <f aca="false">_xlfn.NORM.DIST(H36,$E$346,$E$347,1)</f>
        <v>0.00785739852673839</v>
      </c>
    </row>
    <row r="37" customFormat="false" ht="12.8" hidden="false" customHeight="false" outlineLevel="0" collapsed="false">
      <c r="A37" s="0" t="n">
        <f aca="false">'Исходные данные'!A37</f>
        <v>0.935531</v>
      </c>
      <c r="B37" s="0" t="n">
        <f aca="false">'Исходные данные'!B37</f>
        <v>19.1386</v>
      </c>
      <c r="H37" s="0" t="n">
        <f aca="false">H36+6*$E$347/349</f>
        <v>-0.175866260519153</v>
      </c>
      <c r="I37" s="0" t="n">
        <f aca="false">_xlfn.NORM.DIST(H37,$E$346,$E$347,0)</f>
        <v>0.0779108821916698</v>
      </c>
      <c r="J37" s="0" t="n">
        <f aca="false">_xlfn.NORM.DIST(H37,$E$346,$E$347,1)</f>
        <v>0.00823611606829926</v>
      </c>
    </row>
    <row r="38" customFormat="false" ht="12.8" hidden="false" customHeight="false" outlineLevel="0" collapsed="false">
      <c r="A38" s="0" t="n">
        <f aca="false">'Исходные данные'!A38</f>
        <v>0.722042</v>
      </c>
      <c r="B38" s="0" t="n">
        <f aca="false">'Исходные данные'!B38</f>
        <v>19.8607</v>
      </c>
      <c r="H38" s="0" t="n">
        <f aca="false">H37+6*$E$347/349</f>
        <v>-0.170904212656957</v>
      </c>
      <c r="I38" s="0" t="n">
        <f aca="false">_xlfn.NORM.DIST(H38,$E$346,$E$347,0)</f>
        <v>0.0811783871823519</v>
      </c>
      <c r="J38" s="0" t="n">
        <f aca="false">_xlfn.NORM.DIST(H38,$E$346,$E$347,1)</f>
        <v>0.00863077456568919</v>
      </c>
    </row>
    <row r="39" customFormat="false" ht="12.8" hidden="false" customHeight="false" outlineLevel="0" collapsed="false">
      <c r="A39" s="0" t="n">
        <f aca="false">'Исходные данные'!A39</f>
        <v>0.917558</v>
      </c>
      <c r="B39" s="0" t="n">
        <f aca="false">'Исходные данные'!B39</f>
        <v>20.7782</v>
      </c>
      <c r="H39" s="0" t="n">
        <f aca="false">H38+6*$E$347/349</f>
        <v>-0.165942164794762</v>
      </c>
      <c r="I39" s="0" t="n">
        <f aca="false">_xlfn.NORM.DIST(H39,$E$346,$E$347,0)</f>
        <v>0.0845579321050787</v>
      </c>
      <c r="J39" s="0" t="n">
        <f aca="false">_xlfn.NORM.DIST(H39,$E$346,$E$347,1)</f>
        <v>0.00904192346884352</v>
      </c>
    </row>
    <row r="40" customFormat="false" ht="12.8" hidden="false" customHeight="false" outlineLevel="0" collapsed="false">
      <c r="A40" s="0" t="n">
        <f aca="false">'Исходные данные'!A40</f>
        <v>0.623181</v>
      </c>
      <c r="B40" s="0" t="n">
        <f aca="false">'Исходные данные'!B40</f>
        <v>21.4014</v>
      </c>
      <c r="H40" s="0" t="n">
        <f aca="false">H39+6*$E$347/349</f>
        <v>-0.160980116932566</v>
      </c>
      <c r="I40" s="0" t="n">
        <f aca="false">_xlfn.NORM.DIST(H40,$E$346,$E$347,0)</f>
        <v>0.0880521422776604</v>
      </c>
      <c r="J40" s="0" t="n">
        <f aca="false">_xlfn.NORM.DIST(H40,$E$346,$E$347,1)</f>
        <v>0.00947012523602535</v>
      </c>
    </row>
    <row r="41" customFormat="false" ht="12.8" hidden="false" customHeight="false" outlineLevel="0" collapsed="false">
      <c r="A41" s="0" t="n">
        <f aca="false">'Исходные данные'!A41</f>
        <v>0.854547</v>
      </c>
      <c r="B41" s="0" t="n">
        <f aca="false">'Исходные данные'!B41</f>
        <v>22.256</v>
      </c>
      <c r="H41" s="0" t="n">
        <f aca="false">H40+6*$E$347/349</f>
        <v>-0.15601806907037</v>
      </c>
      <c r="I41" s="0" t="n">
        <f aca="false">_xlfn.NORM.DIST(H41,$E$346,$E$347,0)</f>
        <v>0.091663648151439</v>
      </c>
      <c r="J41" s="0" t="n">
        <f aca="false">_xlfn.NORM.DIST(H41,$E$346,$E$347,1)</f>
        <v>0.00991595536638527</v>
      </c>
    </row>
    <row r="42" customFormat="false" ht="12.8" hidden="false" customHeight="false" outlineLevel="0" collapsed="false">
      <c r="A42" s="0" t="n">
        <f aca="false">'Исходные данные'!A42</f>
        <v>0.183041</v>
      </c>
      <c r="B42" s="0" t="n">
        <f aca="false">'Исходные данные'!B42</f>
        <v>22.439</v>
      </c>
      <c r="H42" s="0" t="n">
        <f aca="false">H41+6*$E$347/349</f>
        <v>-0.151056021208175</v>
      </c>
      <c r="I42" s="0" t="n">
        <f aca="false">_xlfn.NORM.DIST(H42,$E$346,$E$347,0)</f>
        <v>0.0953950823504218</v>
      </c>
      <c r="J42" s="0" t="n">
        <f aca="false">_xlfn.NORM.DIST(H42,$E$346,$E$347,1)</f>
        <v>0.0103800024181399</v>
      </c>
    </row>
    <row r="43" customFormat="false" ht="12.8" hidden="false" customHeight="false" outlineLevel="0" collapsed="false">
      <c r="A43" s="0" t="n">
        <f aca="false">'Исходные данные'!A43</f>
        <v>0.688096</v>
      </c>
      <c r="B43" s="0" t="n">
        <f aca="false">'Исходные данные'!B43</f>
        <v>23.1271</v>
      </c>
      <c r="H43" s="0" t="n">
        <f aca="false">H42+6*$E$347/349</f>
        <v>-0.146093973345979</v>
      </c>
      <c r="I43" s="0" t="n">
        <f aca="false">_xlfn.NORM.DIST(H43,$E$346,$E$347,0)</f>
        <v>0.0992490765852581</v>
      </c>
      <c r="J43" s="0" t="n">
        <f aca="false">_xlfn.NORM.DIST(H43,$E$346,$E$347,1)</f>
        <v>0.0108628680117482</v>
      </c>
    </row>
    <row r="44" customFormat="false" ht="12.8" hidden="false" customHeight="false" outlineLevel="0" collapsed="false">
      <c r="A44" s="0" t="n">
        <f aca="false">'Исходные данные'!A44</f>
        <v>0.0572111</v>
      </c>
      <c r="B44" s="0" t="n">
        <f aca="false">'Исходные данные'!B44</f>
        <v>23.1843</v>
      </c>
      <c r="H44" s="0" t="n">
        <f aca="false">H43+6*$E$347/349</f>
        <v>-0.141131925483783</v>
      </c>
      <c r="I44" s="0" t="n">
        <f aca="false">_xlfn.NORM.DIST(H44,$E$346,$E$347,0)</f>
        <v>0.103228258442508</v>
      </c>
      <c r="J44" s="0" t="n">
        <f aca="false">_xlfn.NORM.DIST(H44,$E$346,$E$347,1)</f>
        <v>0.0113651668174646</v>
      </c>
    </row>
    <row r="45" customFormat="false" ht="12.8" hidden="false" customHeight="false" outlineLevel="0" collapsed="false">
      <c r="A45" s="0" t="n">
        <f aca="false">'Исходные данные'!A45</f>
        <v>0.775714</v>
      </c>
      <c r="B45" s="0" t="n">
        <f aca="false">'Исходные данные'!B45</f>
        <v>23.96</v>
      </c>
      <c r="H45" s="0" t="n">
        <f aca="false">H44+6*$E$347/349</f>
        <v>-0.136169877621588</v>
      </c>
      <c r="I45" s="0" t="n">
        <f aca="false">_xlfn.NORM.DIST(H45,$E$346,$E$347,0)</f>
        <v>0.107335248049934</v>
      </c>
      <c r="J45" s="0" t="n">
        <f aca="false">_xlfn.NORM.DIST(H45,$E$346,$E$347,1)</f>
        <v>0.0118875265266528</v>
      </c>
    </row>
    <row r="46" customFormat="false" ht="12.8" hidden="false" customHeight="false" outlineLevel="0" collapsed="false">
      <c r="A46" s="0" t="n">
        <f aca="false">'Исходные данные'!A46</f>
        <v>0.701783</v>
      </c>
      <c r="B46" s="0" t="n">
        <f aca="false">'Исходные данные'!B46</f>
        <v>24.6618</v>
      </c>
      <c r="H46" s="0" t="n">
        <f aca="false">H45+6*$E$347/349</f>
        <v>-0.131207829759392</v>
      </c>
      <c r="I46" s="0" t="n">
        <f aca="false">_xlfn.NORM.DIST(H46,$E$346,$E$347,0)</f>
        <v>0.111572654618843</v>
      </c>
      <c r="J46" s="0" t="n">
        <f aca="false">_xlfn.NORM.DIST(H46,$E$346,$E$347,1)</f>
        <v>0.0124305878062469</v>
      </c>
    </row>
    <row r="47" customFormat="false" ht="12.8" hidden="false" customHeight="false" outlineLevel="0" collapsed="false">
      <c r="A47" s="0" t="n">
        <f aca="false">'Исходные данные'!A47</f>
        <v>0.159357</v>
      </c>
      <c r="B47" s="0" t="n">
        <f aca="false">'Исходные данные'!B47</f>
        <v>24.8212</v>
      </c>
      <c r="H47" s="0" t="n">
        <f aca="false">H46+6*$E$347/349</f>
        <v>-0.126245781897196</v>
      </c>
      <c r="I47" s="0" t="n">
        <f aca="false">_xlfn.NORM.DIST(H47,$E$346,$E$347,0)</f>
        <v>0.11594307286479</v>
      </c>
      <c r="J47" s="0" t="n">
        <f aca="false">_xlfn.NORM.DIST(H47,$E$346,$E$347,1)</f>
        <v>0.0129950042357529</v>
      </c>
    </row>
    <row r="48" customFormat="false" ht="12.8" hidden="false" customHeight="false" outlineLevel="0" collapsed="false">
      <c r="A48" s="0" t="n">
        <f aca="false">'Исходные данные'!A48</f>
        <v>0.0995737</v>
      </c>
      <c r="B48" s="0" t="n">
        <f aca="false">'Исходные данные'!B48</f>
        <v>24.9208</v>
      </c>
      <c r="H48" s="0" t="n">
        <f aca="false">H47+6*$E$347/349</f>
        <v>-0.121283734035</v>
      </c>
      <c r="I48" s="0" t="n">
        <f aca="false">_xlfn.NORM.DIST(H48,$E$346,$E$347,0)</f>
        <v>0.120449079308291</v>
      </c>
      <c r="J48" s="0" t="n">
        <f aca="false">_xlfn.NORM.DIST(H48,$E$346,$E$347,1)</f>
        <v>0.0135814422261919</v>
      </c>
    </row>
    <row r="49" customFormat="false" ht="12.8" hidden="false" customHeight="false" outlineLevel="0" collapsed="false">
      <c r="A49" s="0" t="n">
        <f aca="false">'Исходные данные'!A49</f>
        <v>0.560905</v>
      </c>
      <c r="B49" s="0" t="n">
        <f aca="false">'Исходные данные'!B49</f>
        <v>25.4817</v>
      </c>
      <c r="H49" s="0" t="n">
        <f aca="false">H48+6*$E$347/349</f>
        <v>-0.116321686172805</v>
      </c>
      <c r="I49" s="0" t="n">
        <f aca="false">_xlfn.NORM.DIST(H49,$E$346,$E$347,0)</f>
        <v>0.125093228457485</v>
      </c>
      <c r="J49" s="0" t="n">
        <f aca="false">_xlfn.NORM.DIST(H49,$E$346,$E$347,1)</f>
        <v>0.0141905809203921</v>
      </c>
    </row>
    <row r="50" customFormat="false" ht="12.8" hidden="false" customHeight="false" outlineLevel="0" collapsed="false">
      <c r="A50" s="0" t="n">
        <f aca="false">'Исходные данные'!A50</f>
        <v>0.347255</v>
      </c>
      <c r="B50" s="0" t="n">
        <f aca="false">'Исходные данные'!B50</f>
        <v>25.8289</v>
      </c>
      <c r="H50" s="0" t="n">
        <f aca="false">H49+6*$E$347/349</f>
        <v>-0.111359638310609</v>
      </c>
      <c r="I50" s="0" t="n">
        <f aca="false">_xlfn.NORM.DIST(H50,$E$346,$E$347,0)</f>
        <v>0.129878048875021</v>
      </c>
      <c r="J50" s="0" t="n">
        <f aca="false">_xlfn.NORM.DIST(H50,$E$346,$E$347,1)</f>
        <v>0.0148231120740521</v>
      </c>
    </row>
    <row r="51" customFormat="false" ht="12.8" hidden="false" customHeight="false" outlineLevel="0" collapsed="false">
      <c r="A51" s="0" t="n">
        <f aca="false">'Исходные данные'!A51</f>
        <v>0.539348</v>
      </c>
      <c r="B51" s="0" t="n">
        <f aca="false">'Исходные данные'!B51</f>
        <v>26.3683</v>
      </c>
      <c r="H51" s="0" t="n">
        <f aca="false">H50+6*$E$347/349</f>
        <v>-0.106397590448413</v>
      </c>
      <c r="I51" s="0" t="n">
        <f aca="false">_xlfn.NORM.DIST(H51,$E$346,$E$347,0)</f>
        <v>0.134806039131785</v>
      </c>
      <c r="J51" s="0" t="n">
        <f aca="false">_xlfn.NORM.DIST(H51,$E$346,$E$347,1)</f>
        <v>0.0154797399170053</v>
      </c>
    </row>
    <row r="52" customFormat="false" ht="12.8" hidden="false" customHeight="false" outlineLevel="0" collapsed="false">
      <c r="A52" s="0" t="n">
        <f aca="false">'Исходные данные'!A52</f>
        <v>0.801053</v>
      </c>
      <c r="B52" s="0" t="n">
        <f aca="false">'Исходные данные'!B52</f>
        <v>27.1693</v>
      </c>
      <c r="H52" s="0" t="n">
        <f aca="false">H51+6*$E$347/349</f>
        <v>-0.101435542586218</v>
      </c>
      <c r="I52" s="0" t="n">
        <f aca="false">_xlfn.NORM.DIST(H52,$E$346,$E$347,0)</f>
        <v>0.139879663650409</v>
      </c>
      <c r="J52" s="0" t="n">
        <f aca="false">_xlfn.NORM.DIST(H52,$E$346,$E$347,1)</f>
        <v>0.0161611809941317</v>
      </c>
    </row>
    <row r="53" customFormat="false" ht="12.8" hidden="false" customHeight="false" outlineLevel="0" collapsed="false">
      <c r="A53" s="0" t="n">
        <f aca="false">'Исходные данные'!A53</f>
        <v>0.861269</v>
      </c>
      <c r="B53" s="0" t="n">
        <f aca="false">'Исходные данные'!B53</f>
        <v>28.0306</v>
      </c>
      <c r="H53" s="0" t="n">
        <f aca="false">H52+6*$E$347/349</f>
        <v>-0.0964734947240221</v>
      </c>
      <c r="I53" s="0" t="n">
        <f aca="false">_xlfn.NORM.DIST(H53,$E$346,$E$347,0)</f>
        <v>0.145101348441861</v>
      </c>
      <c r="J53" s="0" t="n">
        <f aca="false">_xlfn.NORM.DIST(H53,$E$346,$E$347,1)</f>
        <v>0.0168681639853789</v>
      </c>
    </row>
    <row r="54" customFormat="false" ht="12.8" hidden="false" customHeight="false" outlineLevel="0" collapsed="false">
      <c r="A54" s="0" t="n">
        <f aca="false">'Исходные данные'!A54</f>
        <v>0.63994</v>
      </c>
      <c r="B54" s="0" t="n">
        <f aca="false">'Исходные данные'!B54</f>
        <v>28.6705</v>
      </c>
      <c r="H54" s="0" t="n">
        <f aca="false">H53+6*$E$347/349</f>
        <v>-0.0915114468618264</v>
      </c>
      <c r="I54" s="0" t="n">
        <f aca="false">_xlfn.NORM.DIST(H54,$E$346,$E$347,0)</f>
        <v>0.15047347673875</v>
      </c>
      <c r="J54" s="0" t="n">
        <f aca="false">_xlfn.NORM.DIST(H54,$E$346,$E$347,1)</f>
        <v>0.0176014295043693</v>
      </c>
    </row>
    <row r="55" customFormat="false" ht="12.8" hidden="false" customHeight="false" outlineLevel="0" collapsed="false">
      <c r="A55" s="0" t="n">
        <f aca="false">'Исходные данные'!A55</f>
        <v>0.81064</v>
      </c>
      <c r="B55" s="0" t="n">
        <f aca="false">'Исходные данные'!B55</f>
        <v>29.4812</v>
      </c>
      <c r="H55" s="0" t="n">
        <f aca="false">H54+6*$E$347/349</f>
        <v>-0.0865493989996308</v>
      </c>
      <c r="I55" s="0" t="n">
        <f aca="false">_xlfn.NORM.DIST(H55,$E$346,$E$347,0)</f>
        <v>0.155998384529364</v>
      </c>
      <c r="J55" s="0" t="n">
        <f aca="false">_xlfn.NORM.DIST(H55,$E$346,$E$347,1)</f>
        <v>0.0183617298750919</v>
      </c>
    </row>
    <row r="56" customFormat="false" ht="12.8" hidden="false" customHeight="false" outlineLevel="0" collapsed="false">
      <c r="A56" s="0" t="n">
        <f aca="false">'Исходные данные'!A56</f>
        <v>0.38527</v>
      </c>
      <c r="B56" s="0" t="n">
        <f aca="false">'Исходные данные'!B56</f>
        <v>29.8664</v>
      </c>
      <c r="H56" s="0" t="n">
        <f aca="false">H55+6*$E$347/349</f>
        <v>-0.0815873511374351</v>
      </c>
      <c r="I56" s="0" t="n">
        <f aca="false">_xlfn.NORM.DIST(H56,$E$346,$E$347,0)</f>
        <v>0.161678355996775</v>
      </c>
      <c r="J56" s="0" t="n">
        <f aca="false">_xlfn.NORM.DIST(H56,$E$346,$E$347,1)</f>
        <v>0.0191498288861965</v>
      </c>
    </row>
    <row r="57" customFormat="false" ht="12.8" hidden="false" customHeight="false" outlineLevel="0" collapsed="false">
      <c r="A57" s="0" t="n">
        <f aca="false">'Исходные данные'!A57</f>
        <v>0.738261</v>
      </c>
      <c r="B57" s="0" t="n">
        <f aca="false">'Исходные данные'!B57</f>
        <v>30.6047</v>
      </c>
      <c r="H57" s="0" t="n">
        <f aca="false">H56+6*$E$347/349</f>
        <v>-0.0766253032752394</v>
      </c>
      <c r="I57" s="0" t="n">
        <f aca="false">_xlfn.NORM.DIST(H57,$E$346,$E$347,0)</f>
        <v>0.167515618867763</v>
      </c>
      <c r="J57" s="0" t="n">
        <f aca="false">_xlfn.NORM.DIST(H57,$E$346,$E$347,1)</f>
        <v>0.0199665015224303</v>
      </c>
    </row>
    <row r="58" customFormat="false" ht="12.8" hidden="false" customHeight="false" outlineLevel="0" collapsed="false">
      <c r="A58" s="0" t="n">
        <f aca="false">'Исходные данные'!A58</f>
        <v>0.321726</v>
      </c>
      <c r="B58" s="0" t="n">
        <f aca="false">'Исходные данные'!B58</f>
        <v>30.9264</v>
      </c>
      <c r="H58" s="0" t="n">
        <f aca="false">H57+6*$E$347/349</f>
        <v>-0.0716632554130438</v>
      </c>
      <c r="I58" s="0" t="n">
        <f aca="false">_xlfn.NORM.DIST(H58,$E$346,$E$347,0)</f>
        <v>0.173512339676604</v>
      </c>
      <c r="J58" s="0" t="n">
        <f aca="false">_xlfn.NORM.DIST(H58,$E$346,$E$347,1)</f>
        <v>0.0208125336727829</v>
      </c>
    </row>
    <row r="59" customFormat="false" ht="12.8" hidden="false" customHeight="false" outlineLevel="0" collapsed="false">
      <c r="A59" s="0" t="n">
        <f aca="false">'Исходные данные'!A59</f>
        <v>0.754328</v>
      </c>
      <c r="B59" s="0" t="n">
        <f aca="false">'Исходные данные'!B59</f>
        <v>31.6807</v>
      </c>
      <c r="H59" s="0" t="n">
        <f aca="false">H58+6*$E$347/349</f>
        <v>-0.0667012075508481</v>
      </c>
      <c r="I59" s="0" t="n">
        <f aca="false">_xlfn.NORM.DIST(H59,$E$346,$E$347,0)</f>
        <v>0.179670618949215</v>
      </c>
      <c r="J59" s="0" t="n">
        <f aca="false">_xlfn.NORM.DIST(H59,$E$346,$E$347,1)</f>
        <v>0.0216887218149291</v>
      </c>
    </row>
    <row r="60" customFormat="false" ht="12.8" hidden="false" customHeight="false" outlineLevel="0" collapsed="false">
      <c r="A60" s="0" t="n">
        <f aca="false">'Исходные данные'!A60</f>
        <v>0.989224</v>
      </c>
      <c r="B60" s="0" t="n">
        <f aca="false">'Исходные данные'!B60</f>
        <v>32.67</v>
      </c>
      <c r="H60" s="0" t="n">
        <f aca="false">H59+6*$E$347/349</f>
        <v>-0.0617391596886524</v>
      </c>
      <c r="I60" s="0" t="n">
        <f aca="false">_xlfn.NORM.DIST(H60,$E$346,$E$347,0)</f>
        <v>0.185992486313437</v>
      </c>
      <c r="J60" s="0" t="n">
        <f aca="false">_xlfn.NORM.DIST(H60,$E$346,$E$347,1)</f>
        <v>0.0225958726755907</v>
      </c>
    </row>
    <row r="61" customFormat="false" ht="12.8" hidden="false" customHeight="false" outlineLevel="0" collapsed="false">
      <c r="A61" s="0" t="n">
        <f aca="false">'Исходные данные'!A61</f>
        <v>0.801059</v>
      </c>
      <c r="B61" s="0" t="n">
        <f aca="false">'Исходные данные'!B61</f>
        <v>33.471</v>
      </c>
      <c r="H61" s="0" t="n">
        <f aca="false">H60+6*$E$347/349</f>
        <v>-0.0567771118264567</v>
      </c>
      <c r="I61" s="0" t="n">
        <f aca="false">_xlfn.NORM.DIST(H61,$E$346,$E$347,0)</f>
        <v>0.192479895541649</v>
      </c>
      <c r="J61" s="0" t="n">
        <f aca="false">_xlfn.NORM.DIST(H61,$E$346,$E$347,1)</f>
        <v>0.0235348028664638</v>
      </c>
    </row>
    <row r="62" customFormat="false" ht="12.8" hidden="false" customHeight="false" outlineLevel="0" collapsed="false">
      <c r="A62" s="0" t="n">
        <f aca="false">'Исходные данные'!A62</f>
        <v>0.826419</v>
      </c>
      <c r="B62" s="0" t="n">
        <f aca="false">'Исходные данные'!B62</f>
        <v>34.2974</v>
      </c>
      <c r="H62" s="0" t="n">
        <f aca="false">H61+6*$E$347/349</f>
        <v>-0.0518150639642611</v>
      </c>
      <c r="I62" s="0" t="n">
        <f aca="false">_xlfn.NORM.DIST(H62,$E$346,$E$347,0)</f>
        <v>0.199134719532263</v>
      </c>
      <c r="J62" s="0" t="n">
        <f aca="false">_xlfn.NORM.DIST(H62,$E$346,$E$347,1)</f>
        <v>0.0245063384953931</v>
      </c>
    </row>
    <row r="63" customFormat="false" ht="12.8" hidden="false" customHeight="false" outlineLevel="0" collapsed="false">
      <c r="A63" s="0" t="n">
        <f aca="false">'Исходные данные'!A63</f>
        <v>0.673352</v>
      </c>
      <c r="B63" s="0" t="n">
        <f aca="false">'Исходные данные'!B63</f>
        <v>34.9708</v>
      </c>
      <c r="H63" s="0" t="n">
        <f aca="false">H62+6*$E$347/349</f>
        <v>-0.0468530161020654</v>
      </c>
      <c r="I63" s="0" t="n">
        <f aca="false">_xlfn.NORM.DIST(H63,$E$346,$E$347,0)</f>
        <v>0.205958745236981</v>
      </c>
      <c r="J63" s="0" t="n">
        <f aca="false">_xlfn.NORM.DIST(H63,$E$346,$E$347,1)</f>
        <v>0.025511314752507</v>
      </c>
    </row>
    <row r="64" customFormat="false" ht="12.8" hidden="false" customHeight="false" outlineLevel="0" collapsed="false">
      <c r="A64" s="0" t="n">
        <f aca="false">'Исходные данные'!A64</f>
        <v>0.996031</v>
      </c>
      <c r="B64" s="0" t="n">
        <f aca="false">'Исходные данные'!B64</f>
        <v>35.9668</v>
      </c>
      <c r="H64" s="0" t="n">
        <f aca="false">H63+6*$E$347/349</f>
        <v>-0.0418909682398697</v>
      </c>
      <c r="I64" s="0" t="n">
        <f aca="false">_xlfn.NORM.DIST(H64,$E$346,$E$347,0)</f>
        <v>0.212953668541099</v>
      </c>
      <c r="J64" s="0" t="n">
        <f aca="false">_xlfn.NORM.DIST(H64,$E$346,$E$347,1)</f>
        <v>0.0265505754710615</v>
      </c>
    </row>
    <row r="65" customFormat="false" ht="12.8" hidden="false" customHeight="false" outlineLevel="0" collapsed="false">
      <c r="A65" s="0" t="n">
        <f aca="false">'Исходные данные'!A65</f>
        <v>0.176261</v>
      </c>
      <c r="B65" s="0" t="n">
        <f aca="false">'Исходные данные'!B65</f>
        <v>36.1431</v>
      </c>
      <c r="H65" s="0" t="n">
        <f aca="false">H64+6*$E$347/349</f>
        <v>-0.036928920377674</v>
      </c>
      <c r="I65" s="0" t="n">
        <f aca="false">_xlfn.NORM.DIST(H65,$E$346,$E$347,0)</f>
        <v>0.220121089104436</v>
      </c>
      <c r="J65" s="0" t="n">
        <f aca="false">_xlfn.NORM.DIST(H65,$E$346,$E$347,1)</f>
        <v>0.0276249726627793</v>
      </c>
    </row>
    <row r="66" customFormat="false" ht="12.8" hidden="false" customHeight="false" outlineLevel="0" collapsed="false">
      <c r="A66" s="0" t="n">
        <f aca="false">'Исходные данные'!A66</f>
        <v>0.193632</v>
      </c>
      <c r="B66" s="0" t="n">
        <f aca="false">'Исходные данные'!B66</f>
        <v>36.3367</v>
      </c>
      <c r="H66" s="0" t="n">
        <f aca="false">H65+6*$E$347/349</f>
        <v>-0.0319668725154784</v>
      </c>
      <c r="I66" s="0" t="n">
        <f aca="false">_xlfn.NORM.DIST(H66,$E$346,$E$347,0)</f>
        <v>0.227462505170872</v>
      </c>
      <c r="J66" s="0" t="n">
        <f aca="false">_xlfn.NORM.DIST(H66,$E$346,$E$347,1)</f>
        <v>0.028735366027508</v>
      </c>
    </row>
    <row r="67" customFormat="false" ht="12.8" hidden="false" customHeight="false" outlineLevel="0" collapsed="false">
      <c r="A67" s="0" t="n">
        <f aca="false">'Исходные данные'!A67</f>
        <v>0.0213317</v>
      </c>
      <c r="B67" s="0" t="n">
        <f aca="false">'Исходные данные'!B67</f>
        <v>36.3581</v>
      </c>
      <c r="H67" s="0" t="n">
        <f aca="false">H66+6*$E$347/349</f>
        <v>-0.0270048246532827</v>
      </c>
      <c r="I67" s="0" t="n">
        <f aca="false">_xlfn.NORM.DIST(H67,$E$346,$E$347,0)</f>
        <v>0.234979308354761</v>
      </c>
      <c r="J67" s="0" t="n">
        <f aca="false">_xlfn.NORM.DIST(H67,$E$346,$E$347,1)</f>
        <v>0.0298826224370624</v>
      </c>
    </row>
    <row r="68" customFormat="false" ht="12.8" hidden="false" customHeight="false" outlineLevel="0" collapsed="false">
      <c r="A68" s="0" t="n">
        <f aca="false">'Исходные данные'!A68</f>
        <v>0.21521</v>
      </c>
      <c r="B68" s="0" t="n">
        <f aca="false">'Исходные данные'!B68</f>
        <v>36.5733</v>
      </c>
      <c r="H68" s="0" t="n">
        <f aca="false">H67+6*$E$347/349</f>
        <v>-0.022042776791087</v>
      </c>
      <c r="I68" s="0" t="n">
        <f aca="false">_xlfn.NORM.DIST(H68,$E$346,$E$347,0)</f>
        <v>0.242672778412855</v>
      </c>
      <c r="J68" s="0" t="n">
        <f aca="false">_xlfn.NORM.DIST(H68,$E$346,$E$347,1)</f>
        <v>0.0310676153931561</v>
      </c>
    </row>
    <row r="69" customFormat="false" ht="12.8" hidden="false" customHeight="false" outlineLevel="0" collapsed="false">
      <c r="A69" s="0" t="n">
        <f aca="false">'Исходные данные'!A69</f>
        <v>0.142185</v>
      </c>
      <c r="B69" s="0" t="n">
        <f aca="false">'Исходные данные'!B69</f>
        <v>36.7155</v>
      </c>
      <c r="H69" s="0" t="n">
        <f aca="false">H68+6*$E$347/349</f>
        <v>-0.0170807289288914</v>
      </c>
      <c r="I69" s="0" t="n">
        <f aca="false">_xlfn.NORM.DIST(H69,$E$346,$E$347,0)</f>
        <v>0.250544078010665</v>
      </c>
      <c r="J69" s="0" t="n">
        <f aca="false">_xlfn.NORM.DIST(H69,$E$346,$E$347,1)</f>
        <v>0.0322912244593755</v>
      </c>
    </row>
    <row r="70" customFormat="false" ht="12.8" hidden="false" customHeight="false" outlineLevel="0" collapsed="false">
      <c r="A70" s="0" t="n">
        <f aca="false">'Исходные данные'!A70</f>
        <v>0.601422</v>
      </c>
      <c r="B70" s="0" t="n">
        <f aca="false">'Исходные данные'!B70</f>
        <v>37.3169</v>
      </c>
      <c r="H70" s="0" t="n">
        <f aca="false">H69+6*$E$347/349</f>
        <v>-0.0121186810666957</v>
      </c>
      <c r="I70" s="0" t="n">
        <f aca="false">_xlfn.NORM.DIST(H70,$E$346,$E$347,0)</f>
        <v>0.25859424749252</v>
      </c>
      <c r="J70" s="0" t="n">
        <f aca="false">_xlfn.NORM.DIST(H70,$E$346,$E$347,1)</f>
        <v>0.0335543346671871</v>
      </c>
    </row>
    <row r="71" customFormat="false" ht="12.8" hidden="false" customHeight="false" outlineLevel="0" collapsed="false">
      <c r="A71" s="0" t="n">
        <f aca="false">'Исходные данные'!A71</f>
        <v>0.150841</v>
      </c>
      <c r="B71" s="0" t="n">
        <f aca="false">'Исходные данные'!B71</f>
        <v>37.4677</v>
      </c>
      <c r="H71" s="0" t="n">
        <f aca="false">H70+6*$E$347/349</f>
        <v>-0.00715663320450001</v>
      </c>
      <c r="I71" s="0" t="n">
        <f aca="false">_xlfn.NORM.DIST(H71,$E$346,$E$347,0)</f>
        <v>0.266824199664852</v>
      </c>
      <c r="J71" s="0" t="n">
        <f aca="false">_xlfn.NORM.DIST(H71,$E$346,$E$347,1)</f>
        <v>0.0348578358960247</v>
      </c>
    </row>
    <row r="72" customFormat="false" ht="12.8" hidden="false" customHeight="false" outlineLevel="0" collapsed="false">
      <c r="A72" s="0" t="n">
        <f aca="false">'Исходные данные'!A72</f>
        <v>0.979656</v>
      </c>
      <c r="B72" s="0" t="n">
        <f aca="false">'Исходные данные'!B72</f>
        <v>38.4474</v>
      </c>
      <c r="H72" s="0" t="n">
        <f aca="false">H71+6*$E$347/349</f>
        <v>-0.00219458534230434</v>
      </c>
      <c r="I72" s="0" t="n">
        <f aca="false">_xlfn.NORM.DIST(H72,$E$346,$E$347,0)</f>
        <v>0.275234714602547</v>
      </c>
      <c r="J72" s="0" t="n">
        <f aca="false">_xlfn.NORM.DIST(H72,$E$346,$E$347,1)</f>
        <v>0.0362026222275426</v>
      </c>
    </row>
    <row r="73" customFormat="false" ht="12.8" hidden="false" customHeight="false" outlineLevel="0" collapsed="false">
      <c r="A73" s="0" t="n">
        <f aca="false">'Исходные данные'!A73</f>
        <v>0.0679385</v>
      </c>
      <c r="B73" s="0" t="n">
        <f aca="false">'Исходные данные'!B73</f>
        <v>38.5153</v>
      </c>
      <c r="H73" s="0" t="n">
        <f aca="false">H72+6*$E$347/349</f>
        <v>0.00276746251989133</v>
      </c>
      <c r="I73" s="0" t="n">
        <f aca="false">_xlfn.NORM.DIST(H73,$E$346,$E$347,0)</f>
        <v>0.283826434488452</v>
      </c>
      <c r="J73" s="0" t="n">
        <f aca="false">_xlfn.NORM.DIST(H73,$E$346,$E$347,1)</f>
        <v>0.0375895912741762</v>
      </c>
    </row>
    <row r="74" customFormat="false" ht="12.8" hidden="false" customHeight="false" outlineLevel="0" collapsed="false">
      <c r="A74" s="0" t="n">
        <f aca="false">'Исходные данные'!A74</f>
        <v>0.62101</v>
      </c>
      <c r="B74" s="0" t="n">
        <f aca="false">'Исходные данные'!B74</f>
        <v>39.1363</v>
      </c>
      <c r="H74" s="0" t="n">
        <f aca="false">H73+6*$E$347/349</f>
        <v>0.007729510382087</v>
      </c>
      <c r="I74" s="0" t="n">
        <f aca="false">_xlfn.NORM.DIST(H74,$E$346,$E$347,0)</f>
        <v>0.292599858496381</v>
      </c>
      <c r="J74" s="0" t="n">
        <f aca="false">_xlfn.NORM.DIST(H74,$E$346,$E$347,1)</f>
        <v>0.0390196434821996</v>
      </c>
    </row>
    <row r="75" customFormat="false" ht="12.8" hidden="false" customHeight="false" outlineLevel="0" collapsed="false">
      <c r="A75" s="0" t="n">
        <f aca="false">'Исходные данные'!A75</f>
        <v>0.17941</v>
      </c>
      <c r="B75" s="0" t="n">
        <f aca="false">'Исходные данные'!B75</f>
        <v>39.3157</v>
      </c>
      <c r="H75" s="0" t="n">
        <f aca="false">H74+6*$E$347/349</f>
        <v>0.0126915582442827</v>
      </c>
      <c r="I75" s="0" t="n">
        <f aca="false">_xlfn.NORM.DIST(H75,$E$346,$E$347,0)</f>
        <v>0.301555337728218</v>
      </c>
      <c r="J75" s="0" t="n">
        <f aca="false">_xlfn.NORM.DIST(H75,$E$346,$E$347,1)</f>
        <v>0.0404936814095224</v>
      </c>
    </row>
    <row r="76" customFormat="false" ht="12.8" hidden="false" customHeight="false" outlineLevel="0" collapsed="false">
      <c r="A76" s="0" t="n">
        <f aca="false">'Исходные данные'!A76</f>
        <v>0.752879</v>
      </c>
      <c r="B76" s="0" t="n">
        <f aca="false">'Исходные данные'!B76</f>
        <v>40.0686</v>
      </c>
      <c r="H76" s="0" t="n">
        <f aca="false">H75+6*$E$347/349</f>
        <v>0.0176536061064783</v>
      </c>
      <c r="I76" s="0" t="n">
        <f aca="false">_xlfn.NORM.DIST(H76,$E$346,$E$347,0)</f>
        <v>0.310693070215904</v>
      </c>
      <c r="J76" s="0" t="n">
        <f aca="false">_xlfn.NORM.DIST(H76,$E$346,$E$347,1)</f>
        <v>0.0420126089785198</v>
      </c>
    </row>
    <row r="77" customFormat="false" ht="12.8" hidden="false" customHeight="false" outlineLevel="0" collapsed="false">
      <c r="A77" s="0" t="n">
        <f aca="false">'Исходные данные'!A77</f>
        <v>0.813206</v>
      </c>
      <c r="B77" s="0" t="n">
        <f aca="false">'Исходные данные'!B77</f>
        <v>40.8818</v>
      </c>
      <c r="H77" s="0" t="n">
        <f aca="false">H76+6*$E$347/349</f>
        <v>0.022615653968674</v>
      </c>
      <c r="I77" s="0" t="n">
        <f aca="false">_xlfn.NORM.DIST(H77,$E$346,$E$347,0)</f>
        <v>0.320013095999324</v>
      </c>
      <c r="J77" s="0" t="n">
        <f aca="false">_xlfn.NORM.DIST(H77,$E$346,$E$347,1)</f>
        <v>0.0435773307042474</v>
      </c>
    </row>
    <row r="78" customFormat="false" ht="12.8" hidden="false" customHeight="false" outlineLevel="0" collapsed="false">
      <c r="A78" s="0" t="n">
        <f aca="false">'Исходные данные'!A78</f>
        <v>0.933824</v>
      </c>
      <c r="B78" s="0" t="n">
        <f aca="false">'Исходные данные'!B78</f>
        <v>41.8156</v>
      </c>
      <c r="H78" s="0" t="n">
        <f aca="false">H77+6*$E$347/349</f>
        <v>0.0275777018308697</v>
      </c>
      <c r="I78" s="0" t="n">
        <f aca="false">_xlfn.NORM.DIST(H78,$E$346,$E$347,0)</f>
        <v>0.329515292291271</v>
      </c>
      <c r="J78" s="0" t="n">
        <f aca="false">_xlfn.NORM.DIST(H78,$E$346,$E$347,1)</f>
        <v>0.0451887508984425</v>
      </c>
    </row>
    <row r="79" customFormat="false" ht="12.8" hidden="false" customHeight="false" outlineLevel="0" collapsed="false">
      <c r="A79" s="0" t="n">
        <f aca="false">'Исходные данные'!A79</f>
        <v>0.0860388</v>
      </c>
      <c r="B79" s="0" t="n">
        <f aca="false">'Исходные данные'!B79</f>
        <v>41.9017</v>
      </c>
      <c r="H79" s="0" t="n">
        <f aca="false">H78+6*$E$347/349</f>
        <v>0.0325397496930654</v>
      </c>
      <c r="I79" s="0" t="n">
        <f aca="false">_xlfn.NORM.DIST(H79,$E$346,$E$347,0)</f>
        <v>0.33919936874082</v>
      </c>
      <c r="J79" s="0" t="n">
        <f aca="false">_xlfn.NORM.DIST(H79,$E$346,$E$347,1)</f>
        <v>0.0468477728497735</v>
      </c>
    </row>
    <row r="80" customFormat="false" ht="12.8" hidden="false" customHeight="false" outlineLevel="0" collapsed="false">
      <c r="A80" s="0" t="n">
        <f aca="false">'Исходные данные'!A80</f>
        <v>0.51345</v>
      </c>
      <c r="B80" s="0" t="n">
        <f aca="false">'Исходные данные'!B80</f>
        <v>42.4151</v>
      </c>
      <c r="H80" s="0" t="n">
        <f aca="false">H79+6*$E$347/349</f>
        <v>0.037501797555261</v>
      </c>
      <c r="I80" s="0" t="n">
        <f aca="false">_xlfn.NORM.DIST(H80,$E$346,$E$347,0)</f>
        <v>0.349064862806595</v>
      </c>
      <c r="J80" s="0" t="n">
        <f aca="false">_xlfn.NORM.DIST(H80,$E$346,$E$347,1)</f>
        <v>0.0485552979808539</v>
      </c>
    </row>
    <row r="81" customFormat="false" ht="12.8" hidden="false" customHeight="false" outlineLevel="0" collapsed="false">
      <c r="A81" s="0" t="n">
        <f aca="false">'Исходные данные'!A81</f>
        <v>0.942365</v>
      </c>
      <c r="B81" s="0" t="n">
        <f aca="false">'Исходные данные'!B81</f>
        <v>43.3575</v>
      </c>
      <c r="H81" s="0" t="n">
        <f aca="false">H80+6*$E$347/349</f>
        <v>0.0424638454174567</v>
      </c>
      <c r="I81" s="0" t="n">
        <f aca="false">_xlfn.NORM.DIST(H81,$E$346,$E$347,0)</f>
        <v>0.359111135251511</v>
      </c>
      <c r="J81" s="0" t="n">
        <f aca="false">_xlfn.NORM.DIST(H81,$E$346,$E$347,1)</f>
        <v>0.0503122249825949</v>
      </c>
    </row>
    <row r="82" customFormat="false" ht="12.8" hidden="false" customHeight="false" outlineLevel="0" collapsed="false">
      <c r="A82" s="0" t="n">
        <f aca="false">'Исходные данные'!A82</f>
        <v>0.170963</v>
      </c>
      <c r="B82" s="0" t="n">
        <f aca="false">'Исходные данные'!B82</f>
        <v>43.5285</v>
      </c>
      <c r="H82" s="0" t="n">
        <f aca="false">H81+6*$E$347/349</f>
        <v>0.0474258932796524</v>
      </c>
      <c r="I82" s="0" t="n">
        <f aca="false">_xlfn.NORM.DIST(H82,$E$346,$E$347,0)</f>
        <v>0.369337365770662</v>
      </c>
      <c r="J82" s="0" t="n">
        <f aca="false">_xlfn.NORM.DIST(H82,$E$346,$E$347,1)</f>
        <v>0.0521194489265276</v>
      </c>
    </row>
    <row r="83" customFormat="false" ht="12.8" hidden="false" customHeight="false" outlineLevel="0" collapsed="false">
      <c r="A83" s="0" t="n">
        <f aca="false">'Исходные данные'!A83</f>
        <v>0.475305</v>
      </c>
      <c r="B83" s="0" t="n">
        <f aca="false">'Исходные данные'!B83</f>
        <v>44.0038</v>
      </c>
      <c r="H83" s="0" t="n">
        <f aca="false">H82+6*$E$347/349</f>
        <v>0.052387941141848</v>
      </c>
      <c r="I83" s="0" t="n">
        <f aca="false">_xlfn.NORM.DIST(H83,$E$346,$E$347,0)</f>
        <v>0.379742548764099</v>
      </c>
      <c r="J83" s="0" t="n">
        <f aca="false">_xlfn.NORM.DIST(H83,$E$346,$E$347,1)</f>
        <v>0.0539778603557865</v>
      </c>
    </row>
    <row r="84" customFormat="false" ht="12.8" hidden="false" customHeight="false" outlineLevel="0" collapsed="false">
      <c r="A84" s="0" t="n">
        <f aca="false">'Исходные данные'!A84</f>
        <v>0.234191</v>
      </c>
      <c r="B84" s="0" t="n">
        <f aca="false">'Исходные данные'!B84</f>
        <v>44.238</v>
      </c>
      <c r="H84" s="0" t="n">
        <f aca="false">H83+6*$E$347/349</f>
        <v>0.0573499890040437</v>
      </c>
      <c r="I84" s="0" t="n">
        <f aca="false">_xlfn.NORM.DIST(H84,$E$346,$E$347,0)</f>
        <v>0.390325489266252</v>
      </c>
      <c r="J84" s="0" t="n">
        <f aca="false">_xlfn.NORM.DIST(H84,$E$346,$E$347,1)</f>
        <v>0.0558883443554991</v>
      </c>
    </row>
    <row r="85" customFormat="false" ht="12.8" hidden="false" customHeight="false" outlineLevel="0" collapsed="false">
      <c r="A85" s="0" t="n">
        <f aca="false">'Исходные данные'!A85</f>
        <v>0.646537</v>
      </c>
      <c r="B85" s="0" t="n">
        <f aca="false">'Исходные данные'!B85</f>
        <v>44.8845</v>
      </c>
      <c r="H85" s="0" t="n">
        <f aca="false">H84+6*$E$347/349</f>
        <v>0.0623120368662394</v>
      </c>
      <c r="I85" s="0" t="n">
        <f aca="false">_xlfn.NORM.DIST(H85,$E$346,$E$347,0)</f>
        <v>0.401084799043795</v>
      </c>
      <c r="J85" s="0" t="n">
        <f aca="false">_xlfn.NORM.DIST(H85,$E$346,$E$347,1)</f>
        <v>0.057851779603392</v>
      </c>
    </row>
    <row r="86" customFormat="false" ht="12.8" hidden="false" customHeight="false" outlineLevel="0" collapsed="false">
      <c r="A86" s="0" t="n">
        <f aca="false">'Исходные данные'!A86</f>
        <v>0.683904</v>
      </c>
      <c r="B86" s="0" t="n">
        <f aca="false">'Исходные данные'!B86</f>
        <v>45.5684</v>
      </c>
      <c r="H86" s="0" t="n">
        <f aca="false">H85+6*$E$347/349</f>
        <v>0.0672740847284351</v>
      </c>
      <c r="I86" s="0" t="n">
        <f aca="false">_xlfn.NORM.DIST(H86,$E$346,$E$347,0)</f>
        <v>0.4120188928737</v>
      </c>
      <c r="J86" s="0" t="n">
        <f aca="false">_xlfn.NORM.DIST(H86,$E$346,$E$347,1)</f>
        <v>0.0598690374014758</v>
      </c>
    </row>
    <row r="87" customFormat="false" ht="12.8" hidden="false" customHeight="false" outlineLevel="0" collapsed="false">
      <c r="A87" s="0" t="n">
        <f aca="false">'Исходные данные'!A87</f>
        <v>0.663593</v>
      </c>
      <c r="B87" s="0" t="n">
        <f aca="false">'Исходные данные'!B87</f>
        <v>46.232</v>
      </c>
      <c r="H87" s="0" t="n">
        <f aca="false">H86+6*$E$347/349</f>
        <v>0.0722361325906307</v>
      </c>
      <c r="I87" s="0" t="n">
        <f aca="false">_xlfn.NORM.DIST(H87,$E$346,$E$347,0)</f>
        <v>0.423125985013191</v>
      </c>
      <c r="J87" s="0" t="n">
        <f aca="false">_xlfn.NORM.DIST(H87,$E$346,$E$347,1)</f>
        <v>0.0619409806897327</v>
      </c>
    </row>
    <row r="88" customFormat="false" ht="12.8" hidden="false" customHeight="false" outlineLevel="0" collapsed="false">
      <c r="A88" s="0" t="n">
        <f aca="false">'Исходные данные'!A88</f>
        <v>0.180721</v>
      </c>
      <c r="B88" s="0" t="n">
        <f aca="false">'Исходные данные'!B88</f>
        <v>46.4127</v>
      </c>
      <c r="H88" s="0" t="n">
        <f aca="false">H87+6*$E$347/349</f>
        <v>0.0771981804528264</v>
      </c>
      <c r="I88" s="0" t="n">
        <f aca="false">_xlfn.NORM.DIST(H88,$E$346,$E$347,0)</f>
        <v>0.434404085873239</v>
      </c>
      <c r="J88" s="0" t="n">
        <f aca="false">_xlfn.NORM.DIST(H88,$E$346,$E$347,1)</f>
        <v>0.0640684630427881</v>
      </c>
    </row>
    <row r="89" customFormat="false" ht="12.8" hidden="false" customHeight="false" outlineLevel="0" collapsed="false">
      <c r="A89" s="0" t="n">
        <f aca="false">'Исходные данные'!A89</f>
        <v>0.345177</v>
      </c>
      <c r="B89" s="0" t="n">
        <f aca="false">'Исходные данные'!B89</f>
        <v>46.7579</v>
      </c>
      <c r="H89" s="0" t="n">
        <f aca="false">H88+6*$E$347/349</f>
        <v>0.0821602283150221</v>
      </c>
      <c r="I89" s="0" t="n">
        <f aca="false">_xlfn.NORM.DIST(H89,$E$346,$E$347,0)</f>
        <v>0.445850998907117</v>
      </c>
      <c r="J89" s="0" t="n">
        <f aca="false">_xlfn.NORM.DIST(H89,$E$346,$E$347,1)</f>
        <v>0.0662523276506052</v>
      </c>
    </row>
    <row r="90" customFormat="false" ht="12.8" hidden="false" customHeight="false" outlineLevel="0" collapsed="false">
      <c r="A90" s="0" t="n">
        <f aca="false">'Исходные данные'!A90</f>
        <v>0.321016</v>
      </c>
      <c r="B90" s="0" t="n">
        <f aca="false">'Исходные данные'!B90</f>
        <v>47.0789</v>
      </c>
      <c r="H90" s="0" t="n">
        <f aca="false">H89+6*$E$347/349</f>
        <v>0.0871222761772178</v>
      </c>
      <c r="I90" s="0" t="n">
        <f aca="false">_xlfn.NORM.DIST(H90,$E$346,$E$347,0)</f>
        <v>0.457464317725399</v>
      </c>
      <c r="J90" s="0" t="n">
        <f aca="false">_xlfn.NORM.DIST(H90,$E$346,$E$347,1)</f>
        <v>0.0684934062842971</v>
      </c>
    </row>
    <row r="91" customFormat="false" ht="12.8" hidden="false" customHeight="false" outlineLevel="0" collapsed="false">
      <c r="A91" s="0" t="n">
        <f aca="false">'Исходные данные'!A91</f>
        <v>0.869046</v>
      </c>
      <c r="B91" s="0" t="n">
        <f aca="false">'Исходные данные'!B91</f>
        <v>47.9479</v>
      </c>
      <c r="H91" s="0" t="n">
        <f aca="false">H90+6*$E$347/349</f>
        <v>0.0920843240394134</v>
      </c>
      <c r="I91" s="0" t="n">
        <f aca="false">_xlfn.NORM.DIST(H91,$E$346,$E$347,0)</f>
        <v>0.469241423448634</v>
      </c>
      <c r="J91" s="0" t="n">
        <f aca="false">_xlfn.NORM.DIST(H91,$E$346,$E$347,1)</f>
        <v>0.0707925182482086</v>
      </c>
    </row>
    <row r="92" customFormat="false" ht="12.8" hidden="false" customHeight="false" outlineLevel="0" collapsed="false">
      <c r="A92" s="0" t="n">
        <f aca="false">'Исходные данные'!A92</f>
        <v>0.251554</v>
      </c>
      <c r="B92" s="0" t="n">
        <f aca="false">'Исходные данные'!B92</f>
        <v>48.1995</v>
      </c>
      <c r="H92" s="0" t="n">
        <f aca="false">H91+6*$E$347/349</f>
        <v>0.0970463719016091</v>
      </c>
      <c r="I92" s="0" t="n">
        <f aca="false">_xlfn.NORM.DIST(H92,$E$346,$E$347,0)</f>
        <v>0.481179482308691</v>
      </c>
      <c r="J92" s="0" t="n">
        <f aca="false">_xlfn.NORM.DIST(H92,$E$346,$E$347,1)</f>
        <v>0.0731504693194745</v>
      </c>
    </row>
    <row r="93" customFormat="false" ht="12.8" hidden="false" customHeight="false" outlineLevel="0" collapsed="false">
      <c r="A93" s="0" t="n">
        <f aca="false">'Исходные данные'!A93</f>
        <v>0.893495</v>
      </c>
      <c r="B93" s="0" t="n">
        <f aca="false">'Исходные данные'!B93</f>
        <v>49.093</v>
      </c>
      <c r="H93" s="0" t="n">
        <f aca="false">H92+6*$E$347/349</f>
        <v>0.102008419763805</v>
      </c>
      <c r="I93" s="0" t="n">
        <f aca="false">_xlfn.NORM.DIST(H93,$E$346,$E$347,0)</f>
        <v>0.493275443509577</v>
      </c>
      <c r="J93" s="0" t="n">
        <f aca="false">_xlfn.NORM.DIST(H93,$E$346,$E$347,1)</f>
        <v>0.0755680506763146</v>
      </c>
    </row>
    <row r="94" customFormat="false" ht="12.8" hidden="false" customHeight="false" outlineLevel="0" collapsed="false">
      <c r="A94" s="0" t="n">
        <f aca="false">'Исходные данные'!A94</f>
        <v>0.157976</v>
      </c>
      <c r="B94" s="0" t="n">
        <f aca="false">'Исходные данные'!B94</f>
        <v>49.251</v>
      </c>
      <c r="H94" s="0" t="n">
        <f aca="false">H93+6*$E$347/349</f>
        <v>0.106970467626</v>
      </c>
      <c r="I94" s="0" t="n">
        <f aca="false">_xlfn.NORM.DIST(H94,$E$346,$E$347,0)</f>
        <v>0.505526037358239</v>
      </c>
      <c r="J94" s="0" t="n">
        <f aca="false">_xlfn.NORM.DIST(H94,$E$346,$E$347,1)</f>
        <v>0.0780460378163798</v>
      </c>
    </row>
    <row r="95" customFormat="false" ht="12.8" hidden="false" customHeight="false" outlineLevel="0" collapsed="false">
      <c r="A95" s="0" t="n">
        <f aca="false">'Исходные данные'!A95</f>
        <v>0.204799</v>
      </c>
      <c r="B95" s="0" t="n">
        <f aca="false">'Исходные данные'!B95</f>
        <v>49.4558</v>
      </c>
      <c r="H95" s="0" t="n">
        <f aca="false">H94+6*$E$347/349</f>
        <v>0.111932515488196</v>
      </c>
      <c r="I95" s="0" t="n">
        <f aca="false">_xlfn.NORM.DIST(H95,$E$346,$E$347,0)</f>
        <v>0.517927773675574</v>
      </c>
      <c r="J95" s="0" t="n">
        <f aca="false">_xlfn.NORM.DIST(H95,$E$346,$E$347,1)</f>
        <v>0.0805851894665143</v>
      </c>
    </row>
    <row r="96" customFormat="false" ht="17.35" hidden="false" customHeight="false" outlineLevel="0" collapsed="false">
      <c r="A96" s="0" t="n">
        <f aca="false">'Исходные данные'!A96</f>
        <v>0.208352</v>
      </c>
      <c r="B96" s="0" t="n">
        <f aca="false">'Исходные данные'!B96</f>
        <v>49.6641</v>
      </c>
      <c r="D96" s="3"/>
      <c r="E96" s="8"/>
      <c r="H96" s="0" t="n">
        <f aca="false">H95+6*$E$347/349</f>
        <v>0.116894563350392</v>
      </c>
      <c r="I96" s="0" t="n">
        <f aca="false">_xlfn.NORM.DIST(H96,$E$346,$E$347,0)</f>
        <v>0.530476940497548</v>
      </c>
      <c r="J96" s="0" t="n">
        <f aca="false">_xlfn.NORM.DIST(H96,$E$346,$E$347,1)</f>
        <v>0.0831862464853488</v>
      </c>
    </row>
    <row r="97" customFormat="false" ht="17.35" hidden="false" customHeight="false" outlineLevel="0" collapsed="false">
      <c r="A97" s="0" t="n">
        <f aca="false">'Исходные данные'!A97</f>
        <v>0.546034</v>
      </c>
      <c r="B97" s="0" t="n">
        <f aca="false">'Исходные данные'!B97</f>
        <v>50.2102</v>
      </c>
      <c r="D97" s="3"/>
      <c r="E97" s="8"/>
      <c r="H97" s="0" t="n">
        <f aca="false">H96+6*$E$347/349</f>
        <v>0.121856611212587</v>
      </c>
      <c r="I97" s="0" t="n">
        <f aca="false">_xlfn.NORM.DIST(H97,$E$346,$E$347,0)</f>
        <v>0.543169603075945</v>
      </c>
      <c r="J97" s="0" t="n">
        <f aca="false">_xlfn.NORM.DIST(H97,$E$346,$E$347,1)</f>
        <v>0.0858499307601878</v>
      </c>
    </row>
    <row r="98" customFormat="false" ht="12.8" hidden="false" customHeight="false" outlineLevel="0" collapsed="false">
      <c r="A98" s="0" t="n">
        <f aca="false">'Исходные данные'!A98</f>
        <v>0.883658</v>
      </c>
      <c r="B98" s="0" t="n">
        <f aca="false">'Исходные данные'!B98</f>
        <v>51.0938</v>
      </c>
      <c r="H98" s="0" t="n">
        <f aca="false">H97+6*$E$347/349</f>
        <v>0.126818659074783</v>
      </c>
      <c r="I98" s="0" t="n">
        <f aca="false">_xlfn.NORM.DIST(H98,$E$346,$E$347,0)</f>
        <v>0.556001603187911</v>
      </c>
      <c r="J98" s="0" t="n">
        <f aca="false">_xlfn.NORM.DIST(H98,$E$346,$E$347,1)</f>
        <v>0.0885769440997014</v>
      </c>
    </row>
    <row r="99" customFormat="false" ht="12.8" hidden="false" customHeight="false" outlineLevel="0" collapsed="false">
      <c r="A99" s="0" t="n">
        <f aca="false">'Исходные данные'!A99</f>
        <v>0.286789</v>
      </c>
      <c r="B99" s="0" t="n">
        <f aca="false">'Исходные данные'!B99</f>
        <v>51.3806</v>
      </c>
      <c r="H99" s="0" t="n">
        <f aca="false">H98+6*$E$347/349</f>
        <v>0.131780706936979</v>
      </c>
      <c r="I99" s="0" t="n">
        <f aca="false">_xlfn.NORM.DIST(H99,$E$346,$E$347,0)</f>
        <v>0.568968558762985</v>
      </c>
      <c r="J99" s="0" t="n">
        <f aca="false">_xlfn.NORM.DIST(H99,$E$346,$E$347,1)</f>
        <v>0.0913679671239751</v>
      </c>
    </row>
    <row r="100" customFormat="false" ht="12.8" hidden="false" customHeight="false" outlineLevel="0" collapsed="false">
      <c r="A100" s="0" t="n">
        <f aca="false">'Исходные данные'!A100</f>
        <v>0.24097</v>
      </c>
      <c r="B100" s="0" t="n">
        <f aca="false">'Исходные данные'!B100</f>
        <v>51.6216</v>
      </c>
      <c r="H100" s="0" t="n">
        <f aca="false">H99+6*$E$347/349</f>
        <v>0.136742754799174</v>
      </c>
      <c r="I100" s="0" t="n">
        <f aca="false">_xlfn.NORM.DIST(H100,$E$346,$E$347,0)</f>
        <v>0.582065863835912</v>
      </c>
      <c r="J100" s="0" t="n">
        <f aca="false">_xlfn.NORM.DIST(H100,$E$346,$E$347,1)</f>
        <v>0.0942236581535139</v>
      </c>
    </row>
    <row r="101" customFormat="false" ht="17.35" hidden="false" customHeight="false" outlineLevel="0" collapsed="false">
      <c r="A101" s="0" t="n">
        <f aca="false">'Исходные данные'!A101</f>
        <v>0.0718273</v>
      </c>
      <c r="B101" s="0" t="n">
        <f aca="false">'Исходные данные'!B101</f>
        <v>51.6934</v>
      </c>
      <c r="F101" s="1"/>
      <c r="H101" s="0" t="n">
        <f aca="false">H100+6*$E$347/349</f>
        <v>0.14170480266137</v>
      </c>
      <c r="I101" s="0" t="n">
        <f aca="false">_xlfn.NORM.DIST(H101,$E$346,$E$347,0)</f>
        <v>0.595288688832987</v>
      </c>
      <c r="J101" s="0" t="n">
        <f aca="false">_xlfn.NORM.DIST(H101,$E$346,$E$347,1)</f>
        <v>0.0971446520988364</v>
      </c>
    </row>
    <row r="102" customFormat="false" ht="12.8" hidden="false" customHeight="false" outlineLevel="0" collapsed="false">
      <c r="A102" s="0" t="n">
        <f aca="false">'Исходные данные'!A102</f>
        <v>0.192316</v>
      </c>
      <c r="B102" s="0" t="n">
        <f aca="false">'Исходные данные'!B102</f>
        <v>51.8857</v>
      </c>
      <c r="H102" s="0" t="n">
        <f aca="false">H101+6*$E$347/349</f>
        <v>0.146666850523566</v>
      </c>
      <c r="I102" s="0" t="n">
        <f aca="false">_xlfn.NORM.DIST(H102,$E$346,$E$347,0)</f>
        <v>0.608631981199219</v>
      </c>
      <c r="J102" s="0" t="n">
        <f aca="false">_xlfn.NORM.DIST(H102,$E$346,$E$347,1)</f>
        <v>0.100131559352333</v>
      </c>
    </row>
    <row r="103" customFormat="false" ht="12.8" hidden="false" customHeight="false" outlineLevel="0" collapsed="false">
      <c r="A103" s="0" t="n">
        <f aca="false">'Исходные данные'!A103</f>
        <v>0.681052</v>
      </c>
      <c r="B103" s="0" t="n">
        <f aca="false">'Исходные данные'!B103</f>
        <v>52.5668</v>
      </c>
      <c r="H103" s="0" t="n">
        <f aca="false">H102+6*$E$347/349</f>
        <v>0.151628898385762</v>
      </c>
      <c r="I103" s="0" t="n">
        <f aca="false">_xlfn.NORM.DIST(H103,$E$346,$E$347,0)</f>
        <v>0.622090466373018</v>
      </c>
      <c r="J103" s="0" t="n">
        <f aca="false">_xlfn.NORM.DIST(H103,$E$346,$E$347,1)</f>
        <v>0.103184964684094</v>
      </c>
    </row>
    <row r="104" customFormat="false" ht="12.8" hidden="false" customHeight="false" outlineLevel="0" collapsed="false">
      <c r="A104" s="0" t="n">
        <f aca="false">'Исходные данные'!A104</f>
        <v>0.441748</v>
      </c>
      <c r="B104" s="0" t="n">
        <f aca="false">'Исходные данные'!B104</f>
        <v>53.0085</v>
      </c>
      <c r="H104" s="0" t="n">
        <f aca="false">H103+6*$E$347/349</f>
        <v>0.156590946247957</v>
      </c>
      <c r="I104" s="0" t="n">
        <f aca="false">_xlfn.NORM.DIST(H104,$E$346,$E$347,0)</f>
        <v>0.635658649114566</v>
      </c>
      <c r="J104" s="0" t="n">
        <f aca="false">_xlfn.NORM.DIST(H104,$E$346,$E$347,1)</f>
        <v>0.106305426143453</v>
      </c>
    </row>
    <row r="105" customFormat="false" ht="12.8" hidden="false" customHeight="false" outlineLevel="0" collapsed="false">
      <c r="A105" s="0" t="n">
        <f aca="false">'Исходные данные'!A105</f>
        <v>0.848413</v>
      </c>
      <c r="B105" s="0" t="n">
        <f aca="false">'Исходные данные'!B105</f>
        <v>53.8569</v>
      </c>
      <c r="H105" s="0" t="n">
        <f aca="false">H104+6*$E$347/349</f>
        <v>0.161552994110153</v>
      </c>
      <c r="I105" s="0" t="n">
        <f aca="false">_xlfn.NORM.DIST(H105,$E$346,$E$347,0)</f>
        <v>0.649330815193398</v>
      </c>
      <c r="J105" s="0" t="n">
        <f aca="false">_xlfn.NORM.DIST(H105,$E$346,$E$347,1)</f>
        <v>0.109493473968006</v>
      </c>
    </row>
    <row r="106" customFormat="false" ht="12.8" hidden="false" customHeight="false" outlineLevel="0" collapsed="false">
      <c r="A106" s="0" t="n">
        <f aca="false">'Исходные данные'!A106</f>
        <v>0.996605</v>
      </c>
      <c r="B106" s="0" t="n">
        <f aca="false">'Исходные данные'!B106</f>
        <v>54.8535</v>
      </c>
      <c r="H106" s="0" t="n">
        <f aca="false">H105+6*$E$347/349</f>
        <v>0.166515041972349</v>
      </c>
      <c r="I106" s="0" t="n">
        <f aca="false">_xlfn.NORM.DIST(H106,$E$346,$E$347,0)</f>
        <v>0.66310103344013</v>
      </c>
      <c r="J106" s="0" t="n">
        <f aca="false">_xlfn.NORM.DIST(H106,$E$346,$E$347,1)</f>
        <v>0.112749609501909</v>
      </c>
    </row>
    <row r="107" customFormat="false" ht="12.8" hidden="false" customHeight="false" outlineLevel="0" collapsed="false">
      <c r="A107" s="0" t="n">
        <f aca="false">'Исходные данные'!A107</f>
        <v>0.0287397</v>
      </c>
      <c r="B107" s="0" t="n">
        <f aca="false">'Исходные данные'!B107</f>
        <v>54.8823</v>
      </c>
      <c r="H107" s="0" t="n">
        <f aca="false">H106+6*$E$347/349</f>
        <v>0.171477089834544</v>
      </c>
      <c r="I107" s="0" t="n">
        <f aca="false">_xlfn.NORM.DIST(H107,$E$346,$E$347,0)</f>
        <v>0.676963158166583</v>
      </c>
      <c r="J107" s="0" t="n">
        <f aca="false">_xlfn.NORM.DIST(H107,$E$346,$E$347,1)</f>
        <v>0.116074304125269</v>
      </c>
    </row>
    <row r="108" customFormat="false" ht="12.8" hidden="false" customHeight="false" outlineLevel="0" collapsed="false">
      <c r="A108" s="0" t="n">
        <f aca="false">'Исходные данные'!A108</f>
        <v>0.852422</v>
      </c>
      <c r="B108" s="0" t="n">
        <f aca="false">'Исходные данные'!B108</f>
        <v>55.7347</v>
      </c>
      <c r="H108" s="0" t="n">
        <f aca="false">H107+6*$E$347/349</f>
        <v>0.17643913769674</v>
      </c>
      <c r="I108" s="0" t="n">
        <f aca="false">_xlfn.NORM.DIST(H108,$E$346,$E$347,0)</f>
        <v>0.690910831957901</v>
      </c>
      <c r="J108" s="0" t="n">
        <f aca="false">_xlfn.NORM.DIST(H108,$E$346,$E$347,1)</f>
        <v>0.11946799819646</v>
      </c>
    </row>
    <row r="109" customFormat="false" ht="12.8" hidden="false" customHeight="false" outlineLevel="0" collapsed="false">
      <c r="A109" s="0" t="n">
        <f aca="false">'Исходные данные'!A109</f>
        <v>0.315115</v>
      </c>
      <c r="B109" s="0" t="n">
        <f aca="false">'Исходные данные'!B109</f>
        <v>56.0498</v>
      </c>
      <c r="H109" s="0" t="n">
        <f aca="false">H108+6*$E$347/349</f>
        <v>0.181401185558936</v>
      </c>
      <c r="I109" s="0" t="n">
        <f aca="false">_xlfn.NORM.DIST(H109,$E$346,$E$347,0)</f>
        <v>0.704937488839538</v>
      </c>
      <c r="J109" s="0" t="n">
        <f aca="false">_xlfn.NORM.DIST(H109,$E$346,$E$347,1)</f>
        <v>0.122931100009235</v>
      </c>
    </row>
    <row r="110" customFormat="false" ht="12.8" hidden="false" customHeight="false" outlineLevel="0" collapsed="false">
      <c r="A110" s="0" t="n">
        <f aca="false">'Исходные данные'!A110</f>
        <v>0.981869</v>
      </c>
      <c r="B110" s="0" t="n">
        <f aca="false">'Исходные данные'!B110</f>
        <v>57.0317</v>
      </c>
      <c r="H110" s="0" t="n">
        <f aca="false">H109+6*$E$347/349</f>
        <v>0.186363233421131</v>
      </c>
      <c r="I110" s="0" t="n">
        <f aca="false">_xlfn.NORM.DIST(H110,$E$346,$E$347,0)</f>
        <v>0.719036357821285</v>
      </c>
      <c r="J110" s="0" t="n">
        <f aca="false">_xlfn.NORM.DIST(H110,$E$346,$E$347,1)</f>
        <v>0.126463984766471</v>
      </c>
      <c r="K110" s="0" t="s">
        <v>4</v>
      </c>
    </row>
    <row r="111" customFormat="false" ht="12.8" hidden="false" customHeight="false" outlineLevel="0" collapsed="false">
      <c r="A111" s="0" t="n">
        <f aca="false">'Исходные данные'!A111</f>
        <v>0.356696</v>
      </c>
      <c r="B111" s="0" t="n">
        <f aca="false">'Исходные данные'!B111</f>
        <v>57.3884</v>
      </c>
      <c r="H111" s="0" t="n">
        <f aca="false">H110+6*$E$347/349</f>
        <v>0.191325281283327</v>
      </c>
      <c r="I111" s="0" t="n">
        <f aca="false">_xlfn.NORM.DIST(H111,$E$346,$E$347,0)</f>
        <v>0.733200466819749</v>
      </c>
      <c r="J111" s="0" t="n">
        <f aca="false">_xlfn.NORM.DIST(H111,$E$346,$E$347,1)</f>
        <v>0.130066993572452</v>
      </c>
    </row>
    <row r="112" customFormat="false" ht="12.8" hidden="false" customHeight="false" outlineLevel="0" collapsed="false">
      <c r="A112" s="0" t="n">
        <f aca="false">'Исходные данные'!A112</f>
        <v>0.655621</v>
      </c>
      <c r="B112" s="0" t="n">
        <f aca="false">'Исходные данные'!B112</f>
        <v>58.044</v>
      </c>
      <c r="H112" s="0" t="n">
        <f aca="false">H111+6*$E$347/349</f>
        <v>0.196287329145523</v>
      </c>
      <c r="I112" s="0" t="n">
        <f aca="false">_xlfn.NORM.DIST(H112,$E$346,$E$347,0)</f>
        <v>0.747422646959953</v>
      </c>
      <c r="J112" s="0" t="n">
        <f aca="false">_xlfn.NORM.DIST(H112,$E$346,$E$347,1)</f>
        <v>0.133740432445548</v>
      </c>
    </row>
    <row r="113" customFormat="false" ht="12.8" hidden="false" customHeight="false" outlineLevel="0" collapsed="false">
      <c r="A113" s="0" t="n">
        <f aca="false">'Исходные данные'!A113</f>
        <v>0.0779715</v>
      </c>
      <c r="B113" s="0" t="n">
        <f aca="false">'Исходные данные'!B113</f>
        <v>58.122</v>
      </c>
      <c r="H113" s="0" t="n">
        <f aca="false">H112+6*$E$347/349</f>
        <v>0.201249377007718</v>
      </c>
      <c r="I113" s="0" t="n">
        <f aca="false">_xlfn.NORM.DIST(H113,$E$346,$E$347,0)</f>
        <v>0.761695537255917</v>
      </c>
      <c r="J113" s="0" t="n">
        <f aca="false">_xlfn.NORM.DIST(H113,$E$346,$E$347,1)</f>
        <v>0.137484571353182</v>
      </c>
    </row>
    <row r="114" customFormat="false" ht="12.8" hidden="false" customHeight="false" outlineLevel="0" collapsed="false">
      <c r="A114" s="0" t="n">
        <f aca="false">'Исходные данные'!A114</f>
        <v>0.381421</v>
      </c>
      <c r="B114" s="0" t="n">
        <f aca="false">'Исходные данные'!B114</f>
        <v>58.5034</v>
      </c>
      <c r="H114" s="0" t="n">
        <f aca="false">H113+6*$E$347/349</f>
        <v>0.206211424869914</v>
      </c>
      <c r="I114" s="0" t="n">
        <f aca="false">_xlfn.NORM.DIST(H114,$E$346,$E$347,0)</f>
        <v>0.776011589669335</v>
      </c>
      <c r="J114" s="0" t="n">
        <f aca="false">_xlfn.NORM.DIST(H114,$E$346,$E$347,1)</f>
        <v>0.141299643270964</v>
      </c>
    </row>
    <row r="115" customFormat="false" ht="12.8" hidden="false" customHeight="false" outlineLevel="0" collapsed="false">
      <c r="A115" s="0" t="n">
        <f aca="false">'Исходные данные'!A115</f>
        <v>0.85963</v>
      </c>
      <c r="B115" s="0" t="n">
        <f aca="false">'Исходные данные'!B115</f>
        <v>59.363</v>
      </c>
      <c r="H115" s="0" t="n">
        <f aca="false">H114+6*$E$347/349</f>
        <v>0.21117347273211</v>
      </c>
      <c r="I115" s="0" t="n">
        <f aca="false">_xlfn.NORM.DIST(H115,$E$346,$E$347,0)</f>
        <v>0.790363074544588</v>
      </c>
      <c r="J115" s="0" t="n">
        <f aca="false">_xlfn.NORM.DIST(H115,$E$346,$E$347,1)</f>
        <v>0.145185843267851</v>
      </c>
    </row>
    <row r="116" customFormat="false" ht="12.8" hidden="false" customHeight="false" outlineLevel="0" collapsed="false">
      <c r="A116" s="0" t="n">
        <f aca="false">'Исходные данные'!A116</f>
        <v>0.376067</v>
      </c>
      <c r="B116" s="0" t="n">
        <f aca="false">'Исходные данные'!B116</f>
        <v>59.7391</v>
      </c>
      <c r="H116" s="0" t="n">
        <f aca="false">H115+6*$E$347/349</f>
        <v>0.216135520594305</v>
      </c>
      <c r="I116" s="0" t="n">
        <f aca="false">_xlfn.NORM.DIST(H116,$E$346,$E$347,0)</f>
        <v>0.804742086417592</v>
      </c>
      <c r="J116" s="0" t="n">
        <f aca="false">_xlfn.NORM.DIST(H116,$E$346,$E$347,1)</f>
        <v>0.149143327619217</v>
      </c>
    </row>
    <row r="117" customFormat="false" ht="12.8" hidden="false" customHeight="false" outlineLevel="0" collapsed="false">
      <c r="A117" s="0" t="n">
        <f aca="false">'Исходные данные'!A117</f>
        <v>0.708826</v>
      </c>
      <c r="B117" s="0" t="n">
        <f aca="false">'Исходные данные'!B117</f>
        <v>60.4479</v>
      </c>
      <c r="H117" s="0" t="n">
        <f aca="false">H116+6*$E$347/349</f>
        <v>0.221097568456501</v>
      </c>
      <c r="I117" s="0" t="n">
        <f aca="false">_xlfn.NORM.DIST(H117,$E$346,$E$347,0)</f>
        <v>0.819140550195076</v>
      </c>
      <c r="J117" s="0" t="n">
        <f aca="false">_xlfn.NORM.DIST(H117,$E$346,$E$347,1)</f>
        <v>0.153172212949659</v>
      </c>
    </row>
    <row r="118" customFormat="false" ht="12.8" hidden="false" customHeight="false" outlineLevel="0" collapsed="false">
      <c r="A118" s="0" t="n">
        <f aca="false">'Исходные данные'!A118</f>
        <v>0.414173</v>
      </c>
      <c r="B118" s="0" t="n">
        <f aca="false">'Исходные данные'!B118</f>
        <v>60.8621</v>
      </c>
      <c r="H118" s="0" t="n">
        <f aca="false">H117+6*$E$347/349</f>
        <v>0.226059616318697</v>
      </c>
      <c r="I118" s="0" t="n">
        <f aca="false">_xlfn.NORM.DIST(H118,$E$346,$E$347,0)</f>
        <v>0.833550227700109</v>
      </c>
      <c r="J118" s="0" t="n">
        <f aca="false">_xlfn.NORM.DIST(H118,$E$346,$E$347,1)</f>
        <v>0.157272575407381</v>
      </c>
    </row>
    <row r="119" customFormat="false" ht="12.8" hidden="false" customHeight="false" outlineLevel="0" collapsed="false">
      <c r="A119" s="0" t="n">
        <f aca="false">'Исходные данные'!A119</f>
        <v>0.325974</v>
      </c>
      <c r="B119" s="0" t="n">
        <f aca="false">'Исходные данные'!B119</f>
        <v>61.1881</v>
      </c>
      <c r="H119" s="0" t="n">
        <f aca="false">H118+6*$E$347/349</f>
        <v>0.231021664180892</v>
      </c>
      <c r="I119" s="0" t="n">
        <f aca="false">_xlfn.NORM.DIST(H119,$E$346,$E$347,0)</f>
        <v>0.847962724578816</v>
      </c>
      <c r="J119" s="0" t="n">
        <f aca="false">_xlfn.NORM.DIST(H119,$E$346,$E$347,1)</f>
        <v>0.161444449871945</v>
      </c>
    </row>
    <row r="120" customFormat="false" ht="12.8" hidden="false" customHeight="false" outlineLevel="0" collapsed="false">
      <c r="A120" s="0" t="n">
        <f aca="false">'Исходные данные'!A120</f>
        <v>0.321785</v>
      </c>
      <c r="B120" s="0" t="n">
        <f aca="false">'Исходные данные'!B120</f>
        <v>61.5098</v>
      </c>
      <c r="H120" s="0" t="n">
        <f aca="false">H119+6*$E$347/349</f>
        <v>0.235983712043088</v>
      </c>
      <c r="I120" s="0" t="n">
        <f aca="false">_xlfn.NORM.DIST(H120,$E$346,$E$347,0)</f>
        <v>0.862369497562398</v>
      </c>
      <c r="J120" s="0" t="n">
        <f aca="false">_xlfn.NORM.DIST(H120,$E$346,$E$347,1)</f>
        <v>0.165687829197195</v>
      </c>
    </row>
    <row r="121" customFormat="false" ht="12.8" hidden="false" customHeight="false" outlineLevel="0" collapsed="false">
      <c r="A121" s="0" t="n">
        <f aca="false">'Исходные данные'!A121</f>
        <v>0.490433</v>
      </c>
      <c r="B121" s="0" t="n">
        <f aca="false">'Исходные данные'!B121</f>
        <v>62.0003</v>
      </c>
      <c r="H121" s="0" t="n">
        <f aca="false">H120+6*$E$347/349</f>
        <v>0.240945759905284</v>
      </c>
      <c r="I121" s="0" t="n">
        <f aca="false">_xlfn.NORM.DIST(H121,$E$346,$E$347,0)</f>
        <v>0.876761862077709</v>
      </c>
      <c r="J121" s="0" t="n">
        <f aca="false">_xlfn.NORM.DIST(H121,$E$346,$E$347,1)</f>
        <v>0.170002663491068</v>
      </c>
    </row>
    <row r="122" customFormat="false" ht="12.8" hidden="false" customHeight="false" outlineLevel="0" collapsed="false">
      <c r="A122" s="0" t="n">
        <f aca="false">'Исходные данные'!A122</f>
        <v>0.314678</v>
      </c>
      <c r="B122" s="0" t="n">
        <f aca="false">'Исходные данные'!B122</f>
        <v>62.315</v>
      </c>
      <c r="H122" s="0" t="n">
        <f aca="false">H121+6*$E$347/349</f>
        <v>0.245907807767479</v>
      </c>
      <c r="I122" s="0" t="n">
        <f aca="false">_xlfn.NORM.DIST(H122,$E$346,$E$347,0)</f>
        <v>0.891131000198818</v>
      </c>
      <c r="J122" s="0" t="n">
        <f aca="false">_xlfn.NORM.DIST(H122,$E$346,$E$347,1)</f>
        <v>0.174388859434021</v>
      </c>
    </row>
    <row r="123" customFormat="false" ht="12.8" hidden="false" customHeight="false" outlineLevel="0" collapsed="false">
      <c r="A123" s="0" t="n">
        <f aca="false">'Исходные данные'!A123</f>
        <v>0.298517</v>
      </c>
      <c r="B123" s="0" t="n">
        <f aca="false">'Исходные данные'!B123</f>
        <v>62.6135</v>
      </c>
      <c r="H123" s="0" t="n">
        <f aca="false">H122+6*$E$347/349</f>
        <v>0.250869855629675</v>
      </c>
      <c r="I123" s="0" t="n">
        <f aca="false">_xlfn.NORM.DIST(H123,$E$346,$E$347,0)</f>
        <v>0.905467968931125</v>
      </c>
      <c r="J123" s="0" t="n">
        <f aca="false">_xlfn.NORM.DIST(H123,$E$346,$E$347,1)</f>
        <v>0.178846279637754</v>
      </c>
    </row>
    <row r="124" customFormat="false" ht="12.8" hidden="false" customHeight="false" outlineLevel="0" collapsed="false">
      <c r="A124" s="0" t="n">
        <f aca="false">'Исходные данные'!A124</f>
        <v>0.512092</v>
      </c>
      <c r="B124" s="0" t="n">
        <f aca="false">'Исходные данные'!B124</f>
        <v>63.1256</v>
      </c>
      <c r="H124" s="0" t="n">
        <f aca="false">H123+6*$E$347/349</f>
        <v>0.255831903491871</v>
      </c>
      <c r="I124" s="0" t="n">
        <f aca="false">_xlfn.NORM.DIST(H124,$E$346,$E$347,0)</f>
        <v>0.919763708818775</v>
      </c>
      <c r="J124" s="0" t="n">
        <f aca="false">_xlfn.NORM.DIST(H124,$E$346,$E$347,1)</f>
        <v>0.183374742045828</v>
      </c>
    </row>
    <row r="125" customFormat="false" ht="12.8" hidden="false" customHeight="false" outlineLevel="0" collapsed="false">
      <c r="A125" s="0" t="n">
        <f aca="false">'Исходные данные'!A125</f>
        <v>0.500782</v>
      </c>
      <c r="B125" s="0" t="n">
        <f aca="false">'Исходные данные'!B125</f>
        <v>63.6263</v>
      </c>
      <c r="H125" s="0" t="n">
        <f aca="false">H124+6*$E$347/349</f>
        <v>0.260793951354066</v>
      </c>
      <c r="I125" s="0" t="n">
        <f aca="false">_xlfn.NORM.DIST(H125,$E$346,$E$347,0)</f>
        <v>0.934009052865285</v>
      </c>
      <c r="J125" s="0" t="n">
        <f aca="false">_xlfn.NORM.DIST(H125,$E$346,$E$347,1)</f>
        <v>0.18797401937779</v>
      </c>
    </row>
    <row r="126" customFormat="false" ht="12.8" hidden="false" customHeight="false" outlineLevel="0" collapsed="false">
      <c r="A126" s="0" t="n">
        <f aca="false">'Исходные данные'!A126</f>
        <v>0.0782147</v>
      </c>
      <c r="B126" s="0" t="n">
        <f aca="false">'Исходные данные'!B126</f>
        <v>63.7046</v>
      </c>
      <c r="H126" s="0" t="n">
        <f aca="false">H125+6*$E$347/349</f>
        <v>0.265755999216262</v>
      </c>
      <c r="I126" s="0" t="n">
        <f aca="false">_xlfn.NORM.DIST(H126,$E$346,$E$347,0)</f>
        <v>0.948194735756476</v>
      </c>
      <c r="J126" s="0" t="n">
        <f aca="false">_xlfn.NORM.DIST(H126,$E$346,$E$347,1)</f>
        <v>0.192643838618307</v>
      </c>
    </row>
    <row r="127" customFormat="false" ht="12.8" hidden="false" customHeight="false" outlineLevel="0" collapsed="false">
      <c r="A127" s="0" t="n">
        <f aca="false">'Исходные данные'!A127</f>
        <v>0.298364</v>
      </c>
      <c r="B127" s="0" t="n">
        <f aca="false">'Исходные данные'!B127</f>
        <v>64.0029</v>
      </c>
      <c r="H127" s="0" t="n">
        <f aca="false">H126+6*$E$347/349</f>
        <v>0.270718047078458</v>
      </c>
      <c r="I127" s="0" t="n">
        <f aca="false">_xlfn.NORM.DIST(H127,$E$346,$E$347,0)</f>
        <v>0.962311403374006</v>
      </c>
      <c r="J127" s="0" t="n">
        <f aca="false">_xlfn.NORM.DIST(H127,$E$346,$E$347,1)</f>
        <v>0.197383880552796</v>
      </c>
    </row>
    <row r="128" customFormat="false" ht="12.8" hidden="false" customHeight="false" outlineLevel="0" collapsed="false">
      <c r="A128" s="0" t="n">
        <f aca="false">'Исходные данные'!A128</f>
        <v>0.881009</v>
      </c>
      <c r="B128" s="0" t="n">
        <f aca="false">'Исходные данные'!B128</f>
        <v>64.8839</v>
      </c>
      <c r="H128" s="0" t="n">
        <f aca="false">H127+6*$E$347/349</f>
        <v>0.275680094940653</v>
      </c>
      <c r="I128" s="0" t="n">
        <f aca="false">_xlfn.NORM.DIST(H128,$E$346,$E$347,0)</f>
        <v>0.976349622587008</v>
      </c>
      <c r="J128" s="0" t="n">
        <f aca="false">_xlfn.NORM.DIST(H128,$E$346,$E$347,1)</f>
        <v>0.202193779350954</v>
      </c>
    </row>
    <row r="129" customFormat="false" ht="12.8" hidden="false" customHeight="false" outlineLevel="0" collapsed="false">
      <c r="A129" s="0" t="n">
        <f aca="false">'Исходные данные'!A129</f>
        <v>0.784344</v>
      </c>
      <c r="B129" s="0" t="n">
        <f aca="false">'Исходные данные'!B129</f>
        <v>65.6683</v>
      </c>
      <c r="H129" s="0" t="n">
        <f aca="false">H128+6*$E$347/349</f>
        <v>0.280642142802849</v>
      </c>
      <c r="I129" s="0" t="n">
        <f aca="false">_xlfn.NORM.DIST(H129,$E$346,$E$347,0)</f>
        <v>0.990299891308569</v>
      </c>
      <c r="J129" s="0" t="n">
        <f aca="false">_xlfn.NORM.DIST(H129,$E$346,$E$347,1)</f>
        <v>0.207073122199541</v>
      </c>
    </row>
    <row r="130" customFormat="false" ht="12.8" hidden="false" customHeight="false" outlineLevel="0" collapsed="false">
      <c r="A130" s="0" t="n">
        <f aca="false">'Исходные данные'!A130</f>
        <v>0.0806682</v>
      </c>
      <c r="B130" s="0" t="n">
        <f aca="false">'Исходные данные'!B130</f>
        <v>65.7489</v>
      </c>
      <c r="H130" s="0" t="n">
        <f aca="false">H129+6*$E$347/349</f>
        <v>0.285604190665045</v>
      </c>
      <c r="I130" s="0" t="n">
        <f aca="false">_xlfn.NORM.DIST(H130,$E$346,$E$347,0)</f>
        <v>1.00415264880302</v>
      </c>
      <c r="J130" s="0" t="n">
        <f aca="false">_xlfn.NORM.DIST(H130,$E$346,$E$347,1)</f>
        <v>0.212021448985683</v>
      </c>
    </row>
    <row r="131" customFormat="false" ht="12.8" hidden="false" customHeight="false" outlineLevel="0" collapsed="false">
      <c r="A131" s="0" t="n">
        <f aca="false">'Исходные данные'!A131</f>
        <v>0.312922</v>
      </c>
      <c r="B131" s="0" t="n">
        <f aca="false">'Исходные данные'!B131</f>
        <v>66.0619</v>
      </c>
      <c r="H131" s="0" t="n">
        <f aca="false">H130+6*$E$347/349</f>
        <v>0.29056623852724</v>
      </c>
      <c r="I131" s="0" t="n">
        <f aca="false">_xlfn.NORM.DIST(H131,$E$346,$E$347,0)</f>
        <v>1.01789828622933</v>
      </c>
      <c r="J131" s="0" t="n">
        <f aca="false">_xlfn.NORM.DIST(H131,$E$346,$E$347,1)</f>
        <v>0.217038252031922</v>
      </c>
    </row>
    <row r="132" customFormat="false" ht="12.8" hidden="false" customHeight="false" outlineLevel="0" collapsed="false">
      <c r="A132" s="0" t="n">
        <f aca="false">'Исходные данные'!A132</f>
        <v>0.0663043</v>
      </c>
      <c r="B132" s="0" t="n">
        <f aca="false">'Исходные данные'!B132</f>
        <v>66.1282</v>
      </c>
      <c r="H132" s="0" t="n">
        <f aca="false">H131+6*$E$347/349</f>
        <v>0.295528286389436</v>
      </c>
      <c r="I132" s="0" t="n">
        <f aca="false">_xlfn.NORM.DIST(H132,$E$346,$E$347,0)</f>
        <v>1.03152715740503</v>
      </c>
      <c r="J132" s="0" t="n">
        <f aca="false">_xlfn.NORM.DIST(H132,$E$346,$E$347,1)</f>
        <v>0.222122975884131</v>
      </c>
    </row>
    <row r="133" customFormat="false" ht="12.8" hidden="false" customHeight="false" outlineLevel="0" collapsed="false">
      <c r="A133" s="0" t="n">
        <f aca="false">'Исходные данные'!A133</f>
        <v>0.0395537</v>
      </c>
      <c r="B133" s="0" t="n">
        <f aca="false">'Исходные данные'!B133</f>
        <v>66.1677</v>
      </c>
      <c r="H133" s="0" t="n">
        <f aca="false">H132+6*$E$347/349</f>
        <v>0.300490334251632</v>
      </c>
      <c r="I133" s="0" t="n">
        <f aca="false">_xlfn.NORM.DIST(H133,$E$346,$E$347,0)</f>
        <v>1.04502958977479</v>
      </c>
      <c r="J133" s="0" t="n">
        <f aca="false">_xlfn.NORM.DIST(H133,$E$346,$E$347,1)</f>
        <v>0.227275017153357</v>
      </c>
    </row>
    <row r="134" customFormat="false" ht="12.8" hidden="false" customHeight="false" outlineLevel="0" collapsed="false">
      <c r="A134" s="0" t="n">
        <f aca="false">'Исходные данные'!A134</f>
        <v>0.572613</v>
      </c>
      <c r="B134" s="0" t="n">
        <f aca="false">'Исходные данные'!B134</f>
        <v>66.7403</v>
      </c>
      <c r="H134" s="0" t="n">
        <f aca="false">H133+6*$E$347/349</f>
        <v>0.305452382113827</v>
      </c>
      <c r="I134" s="0" t="n">
        <f aca="false">_xlfn.NORM.DIST(H134,$E$346,$E$347,0)</f>
        <v>1.0583958955665</v>
      </c>
      <c r="J134" s="0" t="n">
        <f aca="false">_xlfn.NORM.DIST(H134,$E$346,$E$347,1)</f>
        <v>0.232493724412561</v>
      </c>
    </row>
    <row r="135" customFormat="false" ht="12.8" hidden="false" customHeight="false" outlineLevel="0" collapsed="false">
      <c r="A135" s="0" t="n">
        <f aca="false">'Исходные данные'!A135</f>
        <v>0.806597</v>
      </c>
      <c r="B135" s="0" t="n">
        <f aca="false">'Исходные данные'!B135</f>
        <v>67.5469</v>
      </c>
      <c r="H135" s="0" t="n">
        <f aca="false">H134+6*$E$347/349</f>
        <v>0.310414429976023</v>
      </c>
      <c r="I135" s="0" t="n">
        <f aca="false">_xlfn.NORM.DIST(H135,$E$346,$E$347,0)</f>
        <v>1.07161638311785</v>
      </c>
      <c r="J135" s="0" t="n">
        <f aca="false">_xlfn.NORM.DIST(H135,$E$346,$E$347,1)</f>
        <v>0.237778398149148</v>
      </c>
    </row>
    <row r="136" customFormat="false" ht="12.8" hidden="false" customHeight="false" outlineLevel="0" collapsed="false">
      <c r="A136" s="0" t="n">
        <f aca="false">'Исходные данные'!A136</f>
        <v>0.95176</v>
      </c>
      <c r="B136" s="0" t="n">
        <f aca="false">'Исходные данные'!B136</f>
        <v>68.4987</v>
      </c>
      <c r="H136" s="0" t="n">
        <f aca="false">H135+6*$E$347/349</f>
        <v>0.315376477838219</v>
      </c>
      <c r="I136" s="0" t="n">
        <f aca="false">_xlfn.NORM.DIST(H136,$E$346,$E$347,0)</f>
        <v>1.08468136835514</v>
      </c>
      <c r="J136" s="0" t="n">
        <f aca="false">_xlfn.NORM.DIST(H136,$E$346,$E$347,1)</f>
        <v>0.243128290774082</v>
      </c>
    </row>
    <row r="137" customFormat="false" ht="12.8" hidden="false" customHeight="false" outlineLevel="0" collapsed="false">
      <c r="A137" s="0" t="n">
        <f aca="false">'Исходные данные'!A137</f>
        <v>0.882406</v>
      </c>
      <c r="B137" s="0" t="n">
        <f aca="false">'Исходные данные'!B137</f>
        <v>69.3811</v>
      </c>
      <c r="H137" s="0" t="n">
        <f aca="false">H136+6*$E$347/349</f>
        <v>0.320338525700414</v>
      </c>
      <c r="I137" s="0" t="n">
        <f aca="false">_xlfn.NORM.DIST(H137,$E$346,$E$347,0)</f>
        <v>1.0975811864059</v>
      </c>
      <c r="J137" s="0" t="n">
        <f aca="false">_xlfn.NORM.DIST(H137,$E$346,$E$347,1)</f>
        <v>0.248542606688302</v>
      </c>
    </row>
    <row r="138" customFormat="false" ht="12.8" hidden="false" customHeight="false" outlineLevel="0" collapsed="false">
      <c r="A138" s="0" t="n">
        <f aca="false">'Исходные данные'!A138</f>
        <v>0.726409</v>
      </c>
      <c r="B138" s="0" t="n">
        <f aca="false">'Исходные данные'!B138</f>
        <v>70.1075</v>
      </c>
      <c r="H138" s="0" t="n">
        <f aca="false">H137+6*$E$347/349</f>
        <v>0.32530057356261</v>
      </c>
      <c r="I138" s="0" t="n">
        <f aca="false">_xlfn.NORM.DIST(H138,$E$346,$E$347,0)</f>
        <v>1.11030620332631</v>
      </c>
      <c r="J138" s="0" t="n">
        <f aca="false">_xlfn.NORM.DIST(H138,$E$346,$E$347,1)</f>
        <v>0.254020502407051</v>
      </c>
    </row>
    <row r="139" customFormat="false" ht="12.8" hidden="false" customHeight="false" outlineLevel="0" collapsed="false">
      <c r="A139" s="0" t="n">
        <f aca="false">'Исходные данные'!A139</f>
        <v>0.0862894</v>
      </c>
      <c r="B139" s="0" t="n">
        <f aca="false">'Исходные данные'!B139</f>
        <v>70.1938</v>
      </c>
      <c r="H139" s="0" t="n">
        <f aca="false">H138+6*$E$347/349</f>
        <v>0.330262621424806</v>
      </c>
      <c r="I139" s="0" t="n">
        <f aca="false">_xlfn.NORM.DIST(H139,$E$346,$E$347,0)</f>
        <v>1.1228468279238</v>
      </c>
      <c r="J139" s="0" t="n">
        <f aca="false">_xlfn.NORM.DIST(H139,$E$346,$E$347,1)</f>
        <v>0.259561086742641</v>
      </c>
    </row>
    <row r="140" customFormat="false" ht="12.8" hidden="false" customHeight="false" outlineLevel="0" collapsed="false">
      <c r="A140" s="0" t="n">
        <f aca="false">'Исходные данные'!A140</f>
        <v>0.331059</v>
      </c>
      <c r="B140" s="0" t="n">
        <f aca="false">'Исходные данные'!B140</f>
        <v>70.5249</v>
      </c>
      <c r="H140" s="0" t="n">
        <f aca="false">H139+6*$E$347/349</f>
        <v>0.335224669287001</v>
      </c>
      <c r="I140" s="0" t="n">
        <f aca="false">_xlfn.NORM.DIST(H140,$E$346,$E$347,0)</f>
        <v>1.13519352365499</v>
      </c>
      <c r="J140" s="0" t="n">
        <f aca="false">_xlfn.NORM.DIST(H140,$E$346,$E$347,1)</f>
        <v>0.265163421046085</v>
      </c>
    </row>
    <row r="141" customFormat="false" ht="12.8" hidden="false" customHeight="false" outlineLevel="0" collapsed="false">
      <c r="A141" s="0" t="n">
        <f aca="false">'Исходные данные'!A141</f>
        <v>0.998665</v>
      </c>
      <c r="B141" s="0" t="n">
        <f aca="false">'Исходные данные'!B141</f>
        <v>71.5235</v>
      </c>
      <c r="H141" s="0" t="n">
        <f aca="false">H140+6*$E$347/349</f>
        <v>0.340186717149197</v>
      </c>
      <c r="I141" s="0" t="n">
        <f aca="false">_xlfn.NORM.DIST(H141,$E$346,$E$347,0)</f>
        <v>1.14733682057851</v>
      </c>
      <c r="J141" s="0" t="n">
        <f aca="false">_xlfn.NORM.DIST(H141,$E$346,$E$347,1)</f>
        <v>0.270826519507897</v>
      </c>
    </row>
    <row r="142" customFormat="false" ht="12.8" hidden="false" customHeight="false" outlineLevel="0" collapsed="false">
      <c r="A142" s="0" t="n">
        <f aca="false">'Исходные данные'!A142</f>
        <v>0.829758</v>
      </c>
      <c r="B142" s="0" t="n">
        <f aca="false">'Исходные данные'!B142</f>
        <v>72.3533</v>
      </c>
      <c r="H142" s="0" t="n">
        <f aca="false">H141+6*$E$347/349</f>
        <v>0.345148765011393</v>
      </c>
      <c r="I142" s="0" t="n">
        <f aca="false">_xlfn.NORM.DIST(H142,$E$346,$E$347,0)</f>
        <v>1.15926732734217</v>
      </c>
      <c r="J142" s="0" t="n">
        <f aca="false">_xlfn.NORM.DIST(H142,$E$346,$E$347,1)</f>
        <v>0.276549349518311</v>
      </c>
    </row>
    <row r="143" customFormat="false" ht="12.8" hidden="false" customHeight="false" outlineLevel="0" collapsed="false">
      <c r="A143" s="0" t="n">
        <f aca="false">'Исходные данные'!A143</f>
        <v>0.951782</v>
      </c>
      <c r="B143" s="0" t="n">
        <f aca="false">'Исходные данные'!B143</f>
        <v>73.3051</v>
      </c>
      <c r="H143" s="0" t="n">
        <f aca="false">H142+6*$E$347/349</f>
        <v>0.350110812873588</v>
      </c>
      <c r="I143" s="0" t="n">
        <f aca="false">_xlfn.NORM.DIST(H143,$E$346,$E$347,0)</f>
        <v>1.1709757431833</v>
      </c>
      <c r="J143" s="0" t="n">
        <f aca="false">_xlfn.NORM.DIST(H143,$E$346,$E$347,1)</f>
        <v>0.282330832087015</v>
      </c>
    </row>
    <row r="144" customFormat="false" ht="12.8" hidden="false" customHeight="false" outlineLevel="0" collapsed="false">
      <c r="A144" s="0" t="n">
        <f aca="false">'Исходные данные'!A144</f>
        <v>0.466706</v>
      </c>
      <c r="B144" s="0" t="n">
        <f aca="false">'Исходные данные'!B144</f>
        <v>73.7718</v>
      </c>
      <c r="H144" s="0" t="n">
        <f aca="false">H143+6*$E$347/349</f>
        <v>0.355072860735784</v>
      </c>
      <c r="I144" s="0" t="n">
        <f aca="false">_xlfn.NORM.DIST(H144,$E$346,$E$347,0)</f>
        <v>1.18245286992116</v>
      </c>
      <c r="J144" s="0" t="n">
        <f aca="false">_xlfn.NORM.DIST(H144,$E$346,$E$347,1)</f>
        <v>0.28816984232242</v>
      </c>
    </row>
    <row r="145" customFormat="false" ht="12.8" hidden="false" customHeight="false" outlineLevel="0" collapsed="false">
      <c r="A145" s="0" t="n">
        <f aca="false">'Исходные данные'!A145</f>
        <v>0.59413</v>
      </c>
      <c r="B145" s="0" t="n">
        <f aca="false">'Исходные данные'!B145</f>
        <v>74.3659</v>
      </c>
      <c r="H145" s="0" t="n">
        <f aca="false">H144+6*$E$347/349</f>
        <v>0.36003490859798</v>
      </c>
      <c r="I145" s="0" t="n">
        <f aca="false">_xlfn.NORM.DIST(H145,$E$346,$E$347,0)</f>
        <v>1.1936896239199</v>
      </c>
      <c r="J145" s="0" t="n">
        <f aca="false">_xlfn.NORM.DIST(H145,$E$346,$E$347,1)</f>
        <v>0.294065209970376</v>
      </c>
    </row>
    <row r="146" customFormat="false" ht="12.8" hidden="false" customHeight="false" outlineLevel="0" collapsed="false">
      <c r="A146" s="0" t="n">
        <f aca="false">'Исходные данные'!A146</f>
        <v>0.660088</v>
      </c>
      <c r="B146" s="0" t="n">
        <f aca="false">'Исходные данные'!B146</f>
        <v>75.026</v>
      </c>
      <c r="H146" s="0" t="n">
        <f aca="false">H145+6*$E$347/349</f>
        <v>0.364996956460175</v>
      </c>
      <c r="I146" s="0" t="n">
        <f aca="false">_xlfn.NORM.DIST(H146,$E$346,$E$347,0)</f>
        <v>1.20467704800047</v>
      </c>
      <c r="J146" s="0" t="n">
        <f aca="false">_xlfn.NORM.DIST(H146,$E$346,$E$347,1)</f>
        <v>0.300015720012126</v>
      </c>
    </row>
    <row r="147" customFormat="false" ht="12.8" hidden="false" customHeight="false" outlineLevel="0" collapsed="false">
      <c r="A147" s="0" t="n">
        <f aca="false">'Исходные данные'!A147</f>
        <v>0.681683</v>
      </c>
      <c r="B147" s="0" t="n">
        <f aca="false">'Исходные данные'!B147</f>
        <v>75.7077</v>
      </c>
      <c r="H147" s="0" t="n">
        <f aca="false">H146+6*$E$347/349</f>
        <v>0.369959004322371</v>
      </c>
      <c r="I147" s="0" t="n">
        <f aca="false">_xlfn.NORM.DIST(H147,$E$346,$E$347,0)</f>
        <v>1.21540632327977</v>
      </c>
      <c r="J147" s="0" t="n">
        <f aca="false">_xlfn.NORM.DIST(H147,$E$346,$E$347,1)</f>
        <v>0.306020113321201</v>
      </c>
    </row>
    <row r="148" customFormat="false" ht="12.8" hidden="false" customHeight="false" outlineLevel="0" collapsed="false">
      <c r="A148" s="0" t="n">
        <f aca="false">'Исходные данные'!A148</f>
        <v>0.98202</v>
      </c>
      <c r="B148" s="0" t="n">
        <f aca="false">'Исходные данные'!B148</f>
        <v>76.6897</v>
      </c>
      <c r="H148" s="0" t="n">
        <f aca="false">H147+6*$E$347/349</f>
        <v>0.374921052184567</v>
      </c>
      <c r="I148" s="0" t="n">
        <f aca="false">_xlfn.NORM.DIST(H148,$E$346,$E$347,0)</f>
        <v>1.22586878091525</v>
      </c>
      <c r="J148" s="0" t="n">
        <f aca="false">_xlfn.NORM.DIST(H148,$E$346,$E$347,1)</f>
        <v>0.312077087378831</v>
      </c>
    </row>
    <row r="149" customFormat="false" ht="12.8" hidden="false" customHeight="false" outlineLevel="0" collapsed="false">
      <c r="A149" s="0" t="n">
        <f aca="false">'Исходные данные'!A149</f>
        <v>0.658111</v>
      </c>
      <c r="B149" s="0" t="n">
        <f aca="false">'Исходные данные'!B149</f>
        <v>77.3478</v>
      </c>
      <c r="H149" s="0" t="n">
        <f aca="false">H148+6*$E$347/349</f>
        <v>0.379883100046762</v>
      </c>
      <c r="I149" s="0" t="n">
        <f aca="false">_xlfn.NORM.DIST(H149,$E$346,$E$347,0)</f>
        <v>1.23605591373317</v>
      </c>
      <c r="J149" s="0" t="n">
        <f aca="false">_xlfn.NORM.DIST(H149,$E$346,$E$347,1)</f>
        <v>0.318185297047358</v>
      </c>
    </row>
    <row r="150" customFormat="false" ht="12.8" hidden="false" customHeight="false" outlineLevel="0" collapsed="false">
      <c r="A150" s="0" t="n">
        <f aca="false">'Исходные данные'!A150</f>
        <v>0.426784</v>
      </c>
      <c r="B150" s="0" t="n">
        <f aca="false">'Исходные данные'!B150</f>
        <v>77.7746</v>
      </c>
      <c r="H150" s="0" t="n">
        <f aca="false">H149+6*$E$347/349</f>
        <v>0.384845147908958</v>
      </c>
      <c r="I150" s="0" t="n">
        <f aca="false">_xlfn.NORM.DIST(H150,$E$346,$E$347,0)</f>
        <v>1.24595938771877</v>
      </c>
      <c r="J150" s="0" t="n">
        <f aca="false">_xlfn.NORM.DIST(H150,$E$346,$E$347,1)</f>
        <v>0.324343355401012</v>
      </c>
    </row>
    <row r="151" customFormat="false" ht="12.8" hidden="false" customHeight="false" outlineLevel="0" collapsed="false">
      <c r="A151" s="0" t="n">
        <f aca="false">'Исходные данные'!A151</f>
        <v>0.108516</v>
      </c>
      <c r="B151" s="0" t="n">
        <f aca="false">'Исходные данные'!B151</f>
        <v>77.8831</v>
      </c>
      <c r="H151" s="0" t="n">
        <f aca="false">H150+6*$E$347/349</f>
        <v>0.389807195771154</v>
      </c>
      <c r="I151" s="0" t="n">
        <f aca="false">_xlfn.NORM.DIST(H151,$E$346,$E$347,0)</f>
        <v>1.25557105334676</v>
      </c>
      <c r="J151" s="0" t="n">
        <f aca="false">_xlfn.NORM.DIST(H151,$E$346,$E$347,1)</f>
        <v>0.330549834613316</v>
      </c>
    </row>
    <row r="152" customFormat="false" ht="12.8" hidden="false" customHeight="false" outlineLevel="0" collapsed="false">
      <c r="A152" s="0" t="n">
        <f aca="false">'Исходные данные'!A152</f>
        <v>0.620797</v>
      </c>
      <c r="B152" s="0" t="n">
        <f aca="false">'Исходные данные'!B152</f>
        <v>78.5039</v>
      </c>
      <c r="H152" s="0" t="n">
        <f aca="false">H151+6*$E$347/349</f>
        <v>0.39476924363335</v>
      </c>
      <c r="I152" s="0" t="n">
        <f aca="false">_xlfn.NORM.DIST(H152,$E$346,$E$347,0)</f>
        <v>1.26488295673051</v>
      </c>
      <c r="J152" s="0" t="n">
        <f aca="false">_xlfn.NORM.DIST(H152,$E$346,$E$347,1)</f>
        <v>0.336803266900274</v>
      </c>
    </row>
    <row r="153" customFormat="false" ht="12.8" hidden="false" customHeight="false" outlineLevel="0" collapsed="false">
      <c r="A153" s="0" t="n">
        <f aca="false">'Исходные данные'!A153</f>
        <v>0.162213</v>
      </c>
      <c r="B153" s="0" t="n">
        <f aca="false">'Исходные данные'!B153</f>
        <v>78.6661</v>
      </c>
      <c r="H153" s="0" t="n">
        <f aca="false">H152+6*$E$347/349</f>
        <v>0.399731291495545</v>
      </c>
      <c r="I153" s="0" t="n">
        <f aca="false">_xlfn.NORM.DIST(H153,$E$346,$E$347,0)</f>
        <v>1.27388735056882</v>
      </c>
      <c r="J153" s="0" t="n">
        <f aca="false">_xlfn.NORM.DIST(H153,$E$346,$E$347,1)</f>
        <v>0.343102145518384</v>
      </c>
    </row>
    <row r="154" customFormat="false" ht="12.8" hidden="false" customHeight="false" outlineLevel="0" collapsed="false">
      <c r="A154" s="0" t="n">
        <f aca="false">'Исходные данные'!A154</f>
        <v>0.649773</v>
      </c>
      <c r="B154" s="0" t="n">
        <f aca="false">'Исходные данные'!B154</f>
        <v>79.3159</v>
      </c>
      <c r="H154" s="0" t="n">
        <f aca="false">H153+6*$E$347/349</f>
        <v>0.404693339357741</v>
      </c>
      <c r="I154" s="0" t="n">
        <f aca="false">_xlfn.NORM.DIST(H154,$E$346,$E$347,0)</f>
        <v>1.28257670486907</v>
      </c>
      <c r="J154" s="0" t="n">
        <f aca="false">_xlfn.NORM.DIST(H154,$E$346,$E$347,1)</f>
        <v>0.349444925816428</v>
      </c>
    </row>
    <row r="155" customFormat="false" ht="12.8" hidden="false" customHeight="false" outlineLevel="0" collapsed="false">
      <c r="A155" s="0" t="n">
        <f aca="false">'Исходные данные'!A155</f>
        <v>0.952433</v>
      </c>
      <c r="B155" s="0" t="n">
        <f aca="false">'Исходные данные'!B155</f>
        <v>80.2683</v>
      </c>
      <c r="H155" s="0" t="n">
        <f aca="false">H154+6*$E$347/349</f>
        <v>0.409655387219937</v>
      </c>
      <c r="I155" s="0" t="n">
        <f aca="false">_xlfn.NORM.DIST(H155,$E$346,$E$347,0)</f>
        <v>1.29094371742604</v>
      </c>
      <c r="J155" s="0" t="n">
        <f aca="false">_xlfn.NORM.DIST(H155,$E$346,$E$347,1)</f>
        <v>0.355830026339869</v>
      </c>
    </row>
    <row r="156" customFormat="false" ht="12.8" hidden="false" customHeight="false" outlineLevel="0" collapsed="false">
      <c r="A156" s="0" t="n">
        <f aca="false">'Исходные данные'!A156</f>
        <v>0.231368</v>
      </c>
      <c r="B156" s="0" t="n">
        <f aca="false">'Исходные данные'!B156</f>
        <v>80.4997</v>
      </c>
      <c r="H156" s="0" t="n">
        <f aca="false">H155+6*$E$347/349</f>
        <v>0.414617435082132</v>
      </c>
      <c r="I156" s="0" t="n">
        <f aca="false">_xlfn.NORM.DIST(H156,$E$346,$E$347,0)</f>
        <v>1.29898132403616</v>
      </c>
      <c r="J156" s="0" t="n">
        <f aca="false">_xlfn.NORM.DIST(H156,$E$346,$E$347,1)</f>
        <v>0.362255829986603</v>
      </c>
    </row>
    <row r="157" customFormat="false" ht="12.8" hidden="false" customHeight="false" outlineLevel="0" collapsed="false">
      <c r="A157" s="0" t="n">
        <f aca="false">'Исходные данные'!A157</f>
        <v>0.582923</v>
      </c>
      <c r="B157" s="0" t="n">
        <f aca="false">'Исходные данные'!B157</f>
        <v>81.0826</v>
      </c>
      <c r="H157" s="0" t="n">
        <f aca="false">H156+6*$E$347/349</f>
        <v>0.419579482944328</v>
      </c>
      <c r="I157" s="0" t="n">
        <f aca="false">_xlfn.NORM.DIST(H157,$E$346,$E$347,0)</f>
        <v>1.30668270842698</v>
      </c>
      <c r="J157" s="0" t="n">
        <f aca="false">_xlfn.NORM.DIST(H157,$E$346,$E$347,1)</f>
        <v>0.368720685212684</v>
      </c>
    </row>
    <row r="158" customFormat="false" ht="12.8" hidden="false" customHeight="false" outlineLevel="0" collapsed="false">
      <c r="A158" s="0" t="n">
        <f aca="false">'Исходные данные'!A158</f>
        <v>0.00935459</v>
      </c>
      <c r="B158" s="0" t="n">
        <f aca="false">'Исходные данные'!B158</f>
        <v>81.092</v>
      </c>
      <c r="H158" s="0" t="n">
        <f aca="false">H157+6*$E$347/349</f>
        <v>0.424541530806524</v>
      </c>
      <c r="I158" s="0" t="n">
        <f aca="false">_xlfn.NORM.DIST(H158,$E$346,$E$347,0)</f>
        <v>1.31404131188252</v>
      </c>
      <c r="J158" s="0" t="n">
        <f aca="false">_xlfn.NORM.DIST(H158,$E$346,$E$347,1)</f>
        <v>0.375222907286588</v>
      </c>
    </row>
    <row r="159" customFormat="false" ht="12.8" hidden="false" customHeight="false" outlineLevel="0" collapsed="false">
      <c r="A159" s="0" t="n">
        <f aca="false">'Исходные данные'!A159</f>
        <v>0.562379</v>
      </c>
      <c r="B159" s="0" t="n">
        <f aca="false">'Исходные данные'!B159</f>
        <v>81.6543</v>
      </c>
      <c r="H159" s="0" t="n">
        <f aca="false">H158+6*$E$347/349</f>
        <v>0.429503578668719</v>
      </c>
      <c r="I159" s="0" t="n">
        <f aca="false">_xlfn.NORM.DIST(H159,$E$346,$E$347,0)</f>
        <v>1.32105084254548</v>
      </c>
      <c r="J159" s="0" t="n">
        <f aca="false">_xlfn.NORM.DIST(H159,$E$346,$E$347,1)</f>
        <v>0.381760779590433</v>
      </c>
    </row>
    <row r="160" customFormat="false" ht="12.8" hidden="false" customHeight="false" outlineLevel="0" collapsed="false">
      <c r="A160" s="0" t="n">
        <f aca="false">'Исходные данные'!A160</f>
        <v>0.683813</v>
      </c>
      <c r="B160" s="0" t="n">
        <f aca="false">'Исходные данные'!B160</f>
        <v>82.3382</v>
      </c>
      <c r="H160" s="0" t="n">
        <f aca="false">H159+6*$E$347/349</f>
        <v>0.434465626530915</v>
      </c>
      <c r="I160" s="0" t="n">
        <f aca="false">_xlfn.NORM.DIST(H160,$E$346,$E$347,0)</f>
        <v>1.32770528437774</v>
      </c>
      <c r="J160" s="0" t="n">
        <f aca="false">_xlfn.NORM.DIST(H160,$E$346,$E$347,1)</f>
        <v>0.388332554966522</v>
      </c>
    </row>
    <row r="161" customFormat="false" ht="12.8" hidden="false" customHeight="false" outlineLevel="0" collapsed="false">
      <c r="A161" s="0" t="n">
        <f aca="false">'Исходные данные'!A161</f>
        <v>0.779336</v>
      </c>
      <c r="B161" s="0" t="n">
        <f aca="false">'Исходные данные'!B161</f>
        <v>83.1175</v>
      </c>
      <c r="H161" s="0" t="n">
        <f aca="false">H160+6*$E$347/349</f>
        <v>0.439427674393111</v>
      </c>
      <c r="I161" s="0" t="n">
        <f aca="false">_xlfn.NORM.DIST(H161,$E$346,$E$347,0)</f>
        <v>1.3339989057614</v>
      </c>
      <c r="J161" s="0" t="n">
        <f aca="false">_xlfn.NORM.DIST(H161,$E$346,$E$347,1)</f>
        <v>0.394936457107462</v>
      </c>
    </row>
    <row r="162" customFormat="false" ht="12.8" hidden="false" customHeight="false" outlineLevel="0" collapsed="false">
      <c r="A162" s="0" t="n">
        <f aca="false">'Исходные данные'!A162</f>
        <v>0.355259</v>
      </c>
      <c r="B162" s="0" t="n">
        <f aca="false">'Исходные данные'!B162</f>
        <v>83.4727</v>
      </c>
      <c r="H162" s="0" t="n">
        <f aca="false">H161+6*$E$347/349</f>
        <v>0.444389722255306</v>
      </c>
      <c r="I162" s="0" t="n">
        <f aca="false">_xlfn.NORM.DIST(H162,$E$346,$E$347,0)</f>
        <v>1.33992626772311</v>
      </c>
      <c r="J162" s="0" t="n">
        <f aca="false">_xlfn.NORM.DIST(H162,$E$346,$E$347,1)</f>
        <v>0.401570681988036</v>
      </c>
    </row>
    <row r="163" customFormat="false" ht="12.8" hidden="false" customHeight="false" outlineLevel="0" collapsed="false">
      <c r="A163" s="0" t="n">
        <f aca="false">'Исходные данные'!A163</f>
        <v>0.899256</v>
      </c>
      <c r="B163" s="0" t="n">
        <f aca="false">'Исходные данные'!B163</f>
        <v>84.372</v>
      </c>
      <c r="H163" s="0" t="n">
        <f aca="false">H162+6*$E$347/349</f>
        <v>0.449351770117502</v>
      </c>
      <c r="I163" s="0" t="n">
        <f aca="false">_xlfn.NORM.DIST(H163,$E$346,$E$347,0)</f>
        <v>1.34548223176521</v>
      </c>
      <c r="J163" s="0" t="n">
        <f aca="false">_xlfn.NORM.DIST(H163,$E$346,$E$347,1)</f>
        <v>0.40823339933691</v>
      </c>
    </row>
    <row r="164" customFormat="false" ht="12.8" hidden="false" customHeight="false" outlineLevel="0" collapsed="false">
      <c r="A164" s="0" t="n">
        <f aca="false">'Исходные данные'!A164</f>
        <v>0.585291</v>
      </c>
      <c r="B164" s="0" t="n">
        <f aca="false">'Исходные данные'!B164</f>
        <v>84.9573</v>
      </c>
      <c r="H164" s="0" t="n">
        <f aca="false">H163+6*$E$347/349</f>
        <v>0.454313817979698</v>
      </c>
      <c r="I164" s="0" t="n">
        <f aca="false">_xlfn.NORM.DIST(H164,$E$346,$E$347,0)</f>
        <v>1.35066196728782</v>
      </c>
      <c r="J164" s="0" t="n">
        <f aca="false">_xlfn.NORM.DIST(H164,$E$346,$E$347,1)</f>
        <v>0.414922754146203</v>
      </c>
    </row>
    <row r="165" customFormat="false" ht="12.8" hidden="false" customHeight="false" outlineLevel="0" collapsed="false">
      <c r="A165" s="0" t="n">
        <f aca="false">'Исходные данные'!A165</f>
        <v>0.610567</v>
      </c>
      <c r="B165" s="0" t="n">
        <f aca="false">'Исходные данные'!B165</f>
        <v>85.5679</v>
      </c>
      <c r="H165" s="0" t="n">
        <f aca="false">H164+6*$E$347/349</f>
        <v>0.459275865841893</v>
      </c>
      <c r="I165" s="0" t="n">
        <f aca="false">_xlfn.NORM.DIST(H165,$E$346,$E$347,0)</f>
        <v>1.35546095858704</v>
      </c>
      <c r="J165" s="0" t="n">
        <f aca="false">_xlfn.NORM.DIST(H165,$E$346,$E$347,1)</f>
        <v>0.421636868216823</v>
      </c>
    </row>
    <row r="166" customFormat="false" ht="12.8" hidden="false" customHeight="false" outlineLevel="0" collapsed="false">
      <c r="A166" s="0" t="n">
        <f aca="false">'Исходные данные'!A166</f>
        <v>0.0559395</v>
      </c>
      <c r="B166" s="0" t="n">
        <f aca="false">'Исходные данные'!B166</f>
        <v>85.6238</v>
      </c>
      <c r="H166" s="0" t="n">
        <f aca="false">H165+6*$E$347/349</f>
        <v>0.464237913704089</v>
      </c>
      <c r="I166" s="0" t="n">
        <f aca="false">_xlfn.NORM.DIST(H166,$E$346,$E$347,0)</f>
        <v>1.35987501141483</v>
      </c>
      <c r="J166" s="0" t="n">
        <f aca="false">_xlfn.NORM.DIST(H166,$E$346,$E$347,1)</f>
        <v>0.42837384173746</v>
      </c>
    </row>
    <row r="167" customFormat="false" ht="12.8" hidden="false" customHeight="false" outlineLevel="0" collapsed="false">
      <c r="A167" s="0" t="n">
        <f aca="false">'Исходные данные'!A167</f>
        <v>0.0841219</v>
      </c>
      <c r="B167" s="0" t="n">
        <f aca="false">'Исходные данные'!B167</f>
        <v>85.7079</v>
      </c>
      <c r="H167" s="0" t="n">
        <f aca="false">H166+6*$E$347/349</f>
        <v>0.469199961566285</v>
      </c>
      <c r="I167" s="0" t="n">
        <f aca="false">_xlfn.NORM.DIST(H167,$E$346,$E$347,0)</f>
        <v>1.36390025908747</v>
      </c>
      <c r="J167" s="0" t="n">
        <f aca="false">_xlfn.NORM.DIST(H167,$E$346,$E$347,1)</f>
        <v>0.435131754895008</v>
      </c>
    </row>
    <row r="168" customFormat="false" ht="12.8" hidden="false" customHeight="false" outlineLevel="0" collapsed="false">
      <c r="A168" s="0" t="n">
        <f aca="false">'Исходные данные'!A168</f>
        <v>0.516238</v>
      </c>
      <c r="B168" s="0" t="n">
        <f aca="false">'Исходные данные'!B168</f>
        <v>86.2242</v>
      </c>
      <c r="H168" s="0" t="n">
        <f aca="false">H167+6*$E$347/349</f>
        <v>0.47416200942848</v>
      </c>
      <c r="I168" s="0" t="n">
        <f aca="false">_xlfn.NORM.DIST(H168,$E$346,$E$347,0)</f>
        <v>1.36753316812998</v>
      </c>
      <c r="J168" s="0" t="n">
        <f aca="false">_xlfn.NORM.DIST(H168,$E$346,$E$347,1)</f>
        <v>0.441908669514154</v>
      </c>
    </row>
    <row r="169" customFormat="false" ht="12.8" hidden="false" customHeight="false" outlineLevel="0" collapsed="false">
      <c r="A169" s="0" t="n">
        <f aca="false">'Исходные данные'!A169</f>
        <v>0.53146</v>
      </c>
      <c r="B169" s="0" t="n">
        <f aca="false">'Исходные данные'!B169</f>
        <v>86.7556</v>
      </c>
      <c r="H169" s="0" t="n">
        <f aca="false">H168+6*$E$347/349</f>
        <v>0.479124057290676</v>
      </c>
      <c r="I169" s="0" t="n">
        <f aca="false">_xlfn.NORM.DIST(H169,$E$346,$E$347,0)</f>
        <v>1.37077054344505</v>
      </c>
      <c r="J169" s="0" t="n">
        <f aca="false">_xlfn.NORM.DIST(H169,$E$346,$E$347,1)</f>
        <v>0.448702630723797</v>
      </c>
    </row>
    <row r="170" customFormat="false" ht="12.8" hidden="false" customHeight="false" outlineLevel="0" collapsed="false">
      <c r="A170" s="0" t="n">
        <f aca="false">'Исходные данные'!A170</f>
        <v>0.146102</v>
      </c>
      <c r="B170" s="0" t="n">
        <f aca="false">'Исходные данные'!B170</f>
        <v>86.9017</v>
      </c>
      <c r="H170" s="0" t="n">
        <f aca="false">H169+6*$E$347/349</f>
        <v>0.484086105152872</v>
      </c>
      <c r="I170" s="0" t="n">
        <f aca="false">_xlfn.NORM.DIST(H170,$E$346,$E$347,0)</f>
        <v>1.3736095329959</v>
      </c>
      <c r="J170" s="0" t="n">
        <f aca="false">_xlfn.NORM.DIST(H170,$E$346,$E$347,1)</f>
        <v>0.45551166864792</v>
      </c>
    </row>
    <row r="171" customFormat="false" ht="12.8" hidden="false" customHeight="false" outlineLevel="0" collapsed="false">
      <c r="A171" s="0" t="n">
        <f aca="false">'Исходные данные'!A171</f>
        <v>0.572873</v>
      </c>
      <c r="B171" s="0" t="n">
        <f aca="false">'Исходные данные'!B171</f>
        <v>87.4746</v>
      </c>
      <c r="H171" s="0" t="n">
        <f aca="false">H170+6*$E$347/349</f>
        <v>0.489048153015067</v>
      </c>
      <c r="I171" s="0" t="n">
        <f aca="false">_xlfn.NORM.DIST(H171,$E$346,$E$347,0)</f>
        <v>1.37604763199339</v>
      </c>
      <c r="J171" s="0" t="n">
        <f aca="false">_xlfn.NORM.DIST(H171,$E$346,$E$347,1)</f>
        <v>0.462333800118462</v>
      </c>
    </row>
    <row r="172" customFormat="false" ht="12.8" hidden="false" customHeight="false" outlineLevel="0" collapsed="false">
      <c r="A172" s="0" t="n">
        <f aca="false">'Исходные данные'!A172</f>
        <v>0.580506</v>
      </c>
      <c r="B172" s="0" t="n">
        <f aca="false">'Исходные данные'!B172</f>
        <v>88.0551</v>
      </c>
      <c r="H172" s="0" t="n">
        <f aca="false">H171+6*$E$347/349</f>
        <v>0.494010200877263</v>
      </c>
      <c r="I172" s="0" t="n">
        <f aca="false">_xlfn.NORM.DIST(H172,$E$346,$E$347,0)</f>
        <v>1.37808268657882</v>
      </c>
      <c r="J172" s="0" t="n">
        <f aca="false">_xlfn.NORM.DIST(H172,$E$346,$E$347,1)</f>
        <v>0.46916703040773</v>
      </c>
    </row>
    <row r="173" customFormat="false" ht="12.8" hidden="false" customHeight="false" outlineLevel="0" collapsed="false">
      <c r="A173" s="0" t="n">
        <f aca="false">'Исходные данные'!A173</f>
        <v>0.517529</v>
      </c>
      <c r="B173" s="0" t="n">
        <f aca="false">'Исходные данные'!B173</f>
        <v>88.5726</v>
      </c>
      <c r="H173" s="0" t="n">
        <f aca="false">H172+6*$E$347/349</f>
        <v>0.498972248739459</v>
      </c>
      <c r="I173" s="0" t="n">
        <f aca="false">_xlfn.NORM.DIST(H173,$E$346,$E$347,0)</f>
        <v>1.3797128969949</v>
      </c>
      <c r="J173" s="0" t="n">
        <f aca="false">_xlfn.NORM.DIST(H173,$E$346,$E$347,1)</f>
        <v>0.476009354977809</v>
      </c>
    </row>
    <row r="174" customFormat="false" ht="12.8" hidden="false" customHeight="false" outlineLevel="0" collapsed="false">
      <c r="A174" s="0" t="n">
        <f aca="false">'Исходные данные'!A174</f>
        <v>0.777837</v>
      </c>
      <c r="B174" s="0" t="n">
        <f aca="false">'Исходные данные'!B174</f>
        <v>89.3505</v>
      </c>
      <c r="H174" s="0" t="n">
        <f aca="false">H173+6*$E$347/349</f>
        <v>0.503934296601654</v>
      </c>
      <c r="I174" s="0" t="n">
        <f aca="false">_xlfn.NORM.DIST(H174,$E$346,$E$347,0)</f>
        <v>1.38093682023825</v>
      </c>
      <c r="J174" s="0" t="n">
        <f aca="false">_xlfn.NORM.DIST(H174,$E$346,$E$347,1)</f>
        <v>0.482858761244429</v>
      </c>
    </row>
    <row r="175" customFormat="false" ht="12.8" hidden="false" customHeight="false" outlineLevel="0" collapsed="false">
      <c r="A175" s="0" t="n">
        <f aca="false">'Исходные данные'!A175</f>
        <v>0.126983</v>
      </c>
      <c r="B175" s="0" t="n">
        <f aca="false">'Исходные данные'!B175</f>
        <v>89.4774</v>
      </c>
      <c r="H175" s="0" t="n">
        <f aca="false">H174+6*$E$347/349</f>
        <v>0.50889634446385</v>
      </c>
      <c r="I175" s="0" t="n">
        <f aca="false">_xlfn.NORM.DIST(H175,$E$346,$E$347,0)</f>
        <v>1.381753372188</v>
      </c>
      <c r="J175" s="0" t="n">
        <f aca="false">_xlfn.NORM.DIST(H175,$E$346,$E$347,1)</f>
        <v>0.489713230352693</v>
      </c>
    </row>
    <row r="176" customFormat="false" ht="12.8" hidden="false" customHeight="false" outlineLevel="0" collapsed="false">
      <c r="A176" s="0" t="n">
        <f aca="false">'Исходные данные'!A176</f>
        <v>0.200816</v>
      </c>
      <c r="B176" s="0" t="n">
        <f aca="false">'Исходные данные'!B176</f>
        <v>89.6783</v>
      </c>
      <c r="H176" s="0" t="n">
        <f aca="false">H175+6*$E$347/349</f>
        <v>0.513858392326046</v>
      </c>
      <c r="I176" s="0" t="n">
        <f aca="false">_xlfn.NORM.DIST(H176,$E$346,$E$347,0)</f>
        <v>1.38216182920611</v>
      </c>
      <c r="J176" s="0" t="n">
        <f aca="false">_xlfn.NORM.DIST(H176,$E$346,$E$347,1)</f>
        <v>0.496570738962059</v>
      </c>
    </row>
    <row r="177" customFormat="false" ht="12.8" hidden="false" customHeight="false" outlineLevel="0" collapsed="false">
      <c r="A177" s="0" t="n">
        <f aca="false">'Исходные данные'!A177</f>
        <v>0.282026</v>
      </c>
      <c r="B177" s="0" t="n">
        <f aca="false">'Исходные данные'!B177</f>
        <v>89.9603</v>
      </c>
      <c r="H177" s="0" t="n">
        <f aca="false">H176+6*$E$347/349</f>
        <v>0.518820440188241</v>
      </c>
      <c r="I177" s="0" t="n">
        <f aca="false">_xlfn.NORM.DIST(H177,$E$346,$E$347,0)</f>
        <v>1.38216182920611</v>
      </c>
      <c r="J177" s="0" t="n">
        <f aca="false">_xlfn.NORM.DIST(H177,$E$346,$E$347,1)</f>
        <v>0.503429261037943</v>
      </c>
    </row>
    <row r="178" customFormat="false" ht="12.8" hidden="false" customHeight="false" outlineLevel="0" collapsed="false">
      <c r="A178" s="0" t="n">
        <f aca="false">'Исходные данные'!A178</f>
        <v>0.388129</v>
      </c>
      <c r="B178" s="0" t="n">
        <f aca="false">'Исходные данные'!B178</f>
        <v>90.3484</v>
      </c>
      <c r="H178" s="0" t="n">
        <f aca="false">H177+6*$E$347/349</f>
        <v>0.523782488050437</v>
      </c>
      <c r="I178" s="0" t="n">
        <f aca="false">_xlfn.NORM.DIST(H178,$E$346,$E$347,0)</f>
        <v>1.381753372188</v>
      </c>
      <c r="J178" s="0" t="n">
        <f aca="false">_xlfn.NORM.DIST(H178,$E$346,$E$347,1)</f>
        <v>0.510286769647309</v>
      </c>
    </row>
    <row r="179" customFormat="false" ht="12.8" hidden="false" customHeight="false" outlineLevel="0" collapsed="false">
      <c r="A179" s="0" t="n">
        <f aca="false">'Исходные данные'!A179</f>
        <v>0.617838</v>
      </c>
      <c r="B179" s="0" t="n">
        <f aca="false">'Исходные данные'!B179</f>
        <v>90.9663</v>
      </c>
      <c r="H179" s="0" t="n">
        <f aca="false">H178+6*$E$347/349</f>
        <v>0.528744535912633</v>
      </c>
      <c r="I179" s="0" t="n">
        <f aca="false">_xlfn.NORM.DIST(H179,$E$346,$E$347,0)</f>
        <v>1.38093682023825</v>
      </c>
      <c r="J179" s="0" t="n">
        <f aca="false">_xlfn.NORM.DIST(H179,$E$346,$E$347,1)</f>
        <v>0.517141238755572</v>
      </c>
    </row>
    <row r="180" customFormat="false" ht="12.8" hidden="false" customHeight="false" outlineLevel="0" collapsed="false">
      <c r="A180" s="0" t="n">
        <f aca="false">'Исходные данные'!A180</f>
        <v>0.73772</v>
      </c>
      <c r="B180" s="0" t="n">
        <f aca="false">'Исходные данные'!B180</f>
        <v>91.704</v>
      </c>
      <c r="H180" s="0" t="n">
        <f aca="false">H179+6*$E$347/349</f>
        <v>0.533706583774828</v>
      </c>
      <c r="I180" s="0" t="n">
        <f aca="false">_xlfn.NORM.DIST(H180,$E$346,$E$347,0)</f>
        <v>1.3797128969949</v>
      </c>
      <c r="J180" s="0" t="n">
        <f aca="false">_xlfn.NORM.DIST(H180,$E$346,$E$347,1)</f>
        <v>0.523990645022192</v>
      </c>
    </row>
    <row r="181" customFormat="false" ht="12.8" hidden="false" customHeight="false" outlineLevel="0" collapsed="false">
      <c r="A181" s="0" t="n">
        <f aca="false">'Исходные данные'!A181</f>
        <v>0.984708</v>
      </c>
      <c r="B181" s="0" t="n">
        <f aca="false">'Исходные данные'!B181</f>
        <v>92.6887</v>
      </c>
      <c r="H181" s="0" t="n">
        <f aca="false">H180+6*$E$347/349</f>
        <v>0.538668631637024</v>
      </c>
      <c r="I181" s="0" t="n">
        <f aca="false">_xlfn.NORM.DIST(H181,$E$346,$E$347,0)</f>
        <v>1.37808268657881</v>
      </c>
      <c r="J181" s="0" t="n">
        <f aca="false">_xlfn.NORM.DIST(H181,$E$346,$E$347,1)</f>
        <v>0.530832969592271</v>
      </c>
    </row>
    <row r="182" customFormat="false" ht="12.8" hidden="false" customHeight="false" outlineLevel="0" collapsed="false">
      <c r="A182" s="0" t="n">
        <f aca="false">'Исходные данные'!A182</f>
        <v>0.1668</v>
      </c>
      <c r="B182" s="0" t="n">
        <f aca="false">'Исходные данные'!B182</f>
        <v>92.8555</v>
      </c>
      <c r="H182" s="0" t="n">
        <f aca="false">H181+6*$E$347/349</f>
        <v>0.54363067949922</v>
      </c>
      <c r="I182" s="0" t="n">
        <f aca="false">_xlfn.NORM.DIST(H182,$E$346,$E$347,0)</f>
        <v>1.37604763199339</v>
      </c>
      <c r="J182" s="0" t="n">
        <f aca="false">_xlfn.NORM.DIST(H182,$E$346,$E$347,1)</f>
        <v>0.537666199881539</v>
      </c>
    </row>
    <row r="183" customFormat="false" ht="12.8" hidden="false" customHeight="false" outlineLevel="0" collapsed="false">
      <c r="A183" s="0" t="n">
        <f aca="false">'Исходные данные'!A183</f>
        <v>0.847617</v>
      </c>
      <c r="B183" s="0" t="n">
        <f aca="false">'Исходные данные'!B183</f>
        <v>93.7031</v>
      </c>
      <c r="H183" s="0" t="n">
        <f aca="false">H182+6*$E$347/349</f>
        <v>0.548592727361415</v>
      </c>
      <c r="I183" s="0" t="n">
        <f aca="false">_xlfn.NORM.DIST(H183,$E$346,$E$347,0)</f>
        <v>1.3736095329959</v>
      </c>
      <c r="J183" s="0" t="n">
        <f aca="false">_xlfn.NORM.DIST(H183,$E$346,$E$347,1)</f>
        <v>0.544488331352082</v>
      </c>
    </row>
    <row r="184" customFormat="false" ht="12.8" hidden="false" customHeight="false" outlineLevel="0" collapsed="false">
      <c r="A184" s="0" t="n">
        <f aca="false">'Исходные данные'!A184</f>
        <v>0.173706</v>
      </c>
      <c r="B184" s="0" t="n">
        <f aca="false">'Исходные данные'!B184</f>
        <v>93.8768</v>
      </c>
      <c r="H184" s="0" t="n">
        <f aca="false">H183+6*$E$347/349</f>
        <v>0.553554775223611</v>
      </c>
      <c r="I184" s="0" t="n">
        <f aca="false">_xlfn.NORM.DIST(H184,$E$346,$E$347,0)</f>
        <v>1.37077054344505</v>
      </c>
      <c r="J184" s="0" t="n">
        <f aca="false">_xlfn.NORM.DIST(H184,$E$346,$E$347,1)</f>
        <v>0.551297369276204</v>
      </c>
    </row>
    <row r="185" customFormat="false" ht="12.8" hidden="false" customHeight="false" outlineLevel="0" collapsed="false">
      <c r="A185" s="0" t="n">
        <f aca="false">'Исходные данные'!A185</f>
        <v>0.350287</v>
      </c>
      <c r="B185" s="0" t="n">
        <f aca="false">'Исходные данные'!B185</f>
        <v>94.2271</v>
      </c>
      <c r="H185" s="0" t="n">
        <f aca="false">H184+6*$E$347/349</f>
        <v>0.558516823085807</v>
      </c>
      <c r="I185" s="0" t="n">
        <f aca="false">_xlfn.NORM.DIST(H185,$E$346,$E$347,0)</f>
        <v>1.36753316812998</v>
      </c>
      <c r="J185" s="0" t="n">
        <f aca="false">_xlfn.NORM.DIST(H185,$E$346,$E$347,1)</f>
        <v>0.558091330485848</v>
      </c>
    </row>
    <row r="186" customFormat="false" ht="12.8" hidden="false" customHeight="false" outlineLevel="0" collapsed="false">
      <c r="A186" s="0" t="n">
        <f aca="false">'Исходные данные'!A186</f>
        <v>0.227376</v>
      </c>
      <c r="B186" s="0" t="n">
        <f aca="false">'Исходные данные'!B186</f>
        <v>94.4545</v>
      </c>
      <c r="H186" s="0" t="n">
        <f aca="false">H185+6*$E$347/349</f>
        <v>0.563478870948002</v>
      </c>
      <c r="I186" s="0" t="n">
        <f aca="false">_xlfn.NORM.DIST(H186,$E$346,$E$347,0)</f>
        <v>1.36390025908747</v>
      </c>
      <c r="J186" s="0" t="n">
        <f aca="false">_xlfn.NORM.DIST(H186,$E$346,$E$347,1)</f>
        <v>0.564868245104993</v>
      </c>
    </row>
    <row r="187" customFormat="false" ht="12.8" hidden="false" customHeight="false" outlineLevel="0" collapsed="false">
      <c r="A187" s="0" t="n">
        <f aca="false">'Исходные данные'!A187</f>
        <v>0.406313</v>
      </c>
      <c r="B187" s="0" t="n">
        <f aca="false">'Исходные данные'!B187</f>
        <v>94.8608</v>
      </c>
      <c r="H187" s="0" t="n">
        <f aca="false">H186+6*$E$347/349</f>
        <v>0.568440918810198</v>
      </c>
      <c r="I187" s="0" t="n">
        <f aca="false">_xlfn.NORM.DIST(H187,$E$346,$E$347,0)</f>
        <v>1.35987501141483</v>
      </c>
      <c r="J187" s="0" t="n">
        <f aca="false">_xlfn.NORM.DIST(H187,$E$346,$E$347,1)</f>
        <v>0.571626158262541</v>
      </c>
    </row>
    <row r="188" customFormat="false" ht="12.8" hidden="false" customHeight="false" outlineLevel="0" collapsed="false">
      <c r="A188" s="0" t="n">
        <f aca="false">'Исходные данные'!A188</f>
        <v>0.952343</v>
      </c>
      <c r="B188" s="0" t="n">
        <f aca="false">'Исходные данные'!B188</f>
        <v>95.8131</v>
      </c>
      <c r="H188" s="0" t="n">
        <f aca="false">H187+6*$E$347/349</f>
        <v>0.573402966672394</v>
      </c>
      <c r="I188" s="0" t="n">
        <f aca="false">_xlfn.NORM.DIST(H188,$E$346,$E$347,0)</f>
        <v>1.35546095858704</v>
      </c>
      <c r="J188" s="0" t="n">
        <f aca="false">_xlfn.NORM.DIST(H188,$E$346,$E$347,1)</f>
        <v>0.578363131783178</v>
      </c>
    </row>
    <row r="189" customFormat="false" ht="12.8" hidden="false" customHeight="false" outlineLevel="0" collapsed="false">
      <c r="A189" s="0" t="n">
        <f aca="false">'Исходные данные'!A189</f>
        <v>0.919231</v>
      </c>
      <c r="B189" s="0" t="n">
        <f aca="false">'Исходные данные'!B189</f>
        <v>96.7324</v>
      </c>
      <c r="H189" s="0" t="n">
        <f aca="false">H188+6*$E$347/349</f>
        <v>0.578365014534589</v>
      </c>
      <c r="I189" s="0" t="n">
        <f aca="false">_xlfn.NORM.DIST(H189,$E$346,$E$347,0)</f>
        <v>1.35066196728782</v>
      </c>
      <c r="J189" s="0" t="n">
        <f aca="false">_xlfn.NORM.DIST(H189,$E$346,$E$347,1)</f>
        <v>0.585077245853798</v>
      </c>
    </row>
    <row r="190" customFormat="false" ht="12.8" hidden="false" customHeight="false" outlineLevel="0" collapsed="false">
      <c r="A190" s="0" t="n">
        <f aca="false">'Исходные данные'!A190</f>
        <v>0.53102</v>
      </c>
      <c r="B190" s="0" t="n">
        <f aca="false">'Исходные данные'!B190</f>
        <v>97.2634</v>
      </c>
      <c r="H190" s="0" t="n">
        <f aca="false">H189+6*$E$347/349</f>
        <v>0.583327062396785</v>
      </c>
      <c r="I190" s="0" t="n">
        <f aca="false">_xlfn.NORM.DIST(H190,$E$346,$E$347,0)</f>
        <v>1.34548223176521</v>
      </c>
      <c r="J190" s="0" t="n">
        <f aca="false">_xlfn.NORM.DIST(H190,$E$346,$E$347,1)</f>
        <v>0.591766600663091</v>
      </c>
    </row>
    <row r="191" customFormat="false" ht="12.8" hidden="false" customHeight="false" outlineLevel="0" collapsed="false">
      <c r="A191" s="0" t="n">
        <f aca="false">'Исходные данные'!A191</f>
        <v>0.334722</v>
      </c>
      <c r="B191" s="0" t="n">
        <f aca="false">'Исходные данные'!B191</f>
        <v>97.5981</v>
      </c>
      <c r="H191" s="0" t="n">
        <f aca="false">H190+6*$E$347/349</f>
        <v>0.588289110258981</v>
      </c>
      <c r="I191" s="0" t="n">
        <f aca="false">_xlfn.NORM.DIST(H191,$E$346,$E$347,0)</f>
        <v>1.33992626772311</v>
      </c>
      <c r="J191" s="0" t="n">
        <f aca="false">_xlfn.NORM.DIST(H191,$E$346,$E$347,1)</f>
        <v>0.598429318011966</v>
      </c>
    </row>
    <row r="192" customFormat="false" ht="12.8" hidden="false" customHeight="false" outlineLevel="0" collapsed="false">
      <c r="A192" s="0" t="n">
        <f aca="false">'Исходные данные'!A192</f>
        <v>0.71446</v>
      </c>
      <c r="B192" s="0" t="n">
        <f aca="false">'Исходные данные'!B192</f>
        <v>98.3126</v>
      </c>
      <c r="H192" s="0" t="n">
        <f aca="false">H191+6*$E$347/349</f>
        <v>0.593251158121176</v>
      </c>
      <c r="I192" s="0" t="n">
        <f aca="false">_xlfn.NORM.DIST(H192,$E$346,$E$347,0)</f>
        <v>1.3339989057614</v>
      </c>
      <c r="J192" s="0" t="n">
        <f aca="false">_xlfn.NORM.DIST(H192,$E$346,$E$347,1)</f>
        <v>0.605063542892539</v>
      </c>
    </row>
    <row r="193" customFormat="false" ht="12.8" hidden="false" customHeight="false" outlineLevel="0" collapsed="false">
      <c r="A193" s="0" t="n">
        <f aca="false">'Исходные данные'!A193</f>
        <v>0.752994</v>
      </c>
      <c r="B193" s="0" t="n">
        <f aca="false">'Исходные данные'!B193</f>
        <v>99.0656</v>
      </c>
      <c r="H193" s="0" t="n">
        <f aca="false">H192+6*$E$347/349</f>
        <v>0.598213205983372</v>
      </c>
      <c r="I193" s="0" t="n">
        <f aca="false">_xlfn.NORM.DIST(H193,$E$346,$E$347,0)</f>
        <v>1.32770528437774</v>
      </c>
      <c r="J193" s="0" t="n">
        <f aca="false">_xlfn.NORM.DIST(H193,$E$346,$E$347,1)</f>
        <v>0.611667445033479</v>
      </c>
    </row>
    <row r="194" customFormat="false" ht="12.8" hidden="false" customHeight="false" outlineLevel="0" collapsed="false">
      <c r="A194" s="0" t="n">
        <f aca="false">'Исходные данные'!A194</f>
        <v>0.746421</v>
      </c>
      <c r="B194" s="0" t="n">
        <f aca="false">'Исходные данные'!B194</f>
        <v>99.812</v>
      </c>
      <c r="H194" s="0" t="n">
        <f aca="false">H193+6*$E$347/349</f>
        <v>0.603175253845568</v>
      </c>
      <c r="I194" s="0" t="n">
        <f aca="false">_xlfn.NORM.DIST(H194,$E$346,$E$347,0)</f>
        <v>1.32105084254548</v>
      </c>
      <c r="J194" s="0" t="n">
        <f aca="false">_xlfn.NORM.DIST(H194,$E$346,$E$347,1)</f>
        <v>0.618239220409568</v>
      </c>
    </row>
    <row r="195" customFormat="false" ht="12.8" hidden="false" customHeight="false" outlineLevel="0" collapsed="false">
      <c r="A195" s="0" t="n">
        <f aca="false">'Исходные данные'!A195</f>
        <v>0.600008</v>
      </c>
      <c r="B195" s="0" t="n">
        <f aca="false">'Исходные данные'!B195</f>
        <v>100.412</v>
      </c>
      <c r="H195" s="0" t="n">
        <f aca="false">H194+6*$E$347/349</f>
        <v>0.608137301707763</v>
      </c>
      <c r="I195" s="0" t="n">
        <f aca="false">_xlfn.NORM.DIST(H195,$E$346,$E$347,0)</f>
        <v>1.31404131188251</v>
      </c>
      <c r="J195" s="0" t="n">
        <f aca="false">_xlfn.NORM.DIST(H195,$E$346,$E$347,1)</f>
        <v>0.624777092713414</v>
      </c>
    </row>
    <row r="196" customFormat="false" ht="12.8" hidden="false" customHeight="false" outlineLevel="0" collapsed="false">
      <c r="A196" s="0" t="n">
        <f aca="false">'Исходные данные'!A196</f>
        <v>0.692963</v>
      </c>
      <c r="B196" s="0" t="n">
        <f aca="false">'Исходные данные'!B196</f>
        <v>101.105</v>
      </c>
      <c r="H196" s="0" t="n">
        <f aca="false">H195+6*$E$347/349</f>
        <v>0.613099349569959</v>
      </c>
      <c r="I196" s="0" t="n">
        <f aca="false">_xlfn.NORM.DIST(H196,$E$346,$E$347,0)</f>
        <v>1.30668270842697</v>
      </c>
      <c r="J196" s="0" t="n">
        <f aca="false">_xlfn.NORM.DIST(H196,$E$346,$E$347,1)</f>
        <v>0.631279314787318</v>
      </c>
    </row>
    <row r="197" customFormat="false" ht="12.8" hidden="false" customHeight="false" outlineLevel="0" collapsed="false">
      <c r="A197" s="0" t="n">
        <f aca="false">'Исходные данные'!A197</f>
        <v>0.380041</v>
      </c>
      <c r="B197" s="0" t="n">
        <f aca="false">'Исходные данные'!B197</f>
        <v>101.485</v>
      </c>
      <c r="H197" s="0" t="n">
        <f aca="false">H196+6*$E$347/349</f>
        <v>0.618061397432155</v>
      </c>
      <c r="I197" s="0" t="n">
        <f aca="false">_xlfn.NORM.DIST(H197,$E$346,$E$347,0)</f>
        <v>1.29898132403616</v>
      </c>
      <c r="J197" s="0" t="n">
        <f aca="false">_xlfn.NORM.DIST(H197,$E$346,$E$347,1)</f>
        <v>0.637744170013399</v>
      </c>
    </row>
    <row r="198" customFormat="false" ht="12.8" hidden="false" customHeight="false" outlineLevel="0" collapsed="false">
      <c r="A198" s="0" t="n">
        <f aca="false">'Исходные данные'!A198</f>
        <v>0.851638</v>
      </c>
      <c r="B198" s="0" t="n">
        <f aca="false">'Исходные данные'!B198</f>
        <v>102.337</v>
      </c>
      <c r="H198" s="0" t="n">
        <f aca="false">H197+6*$E$347/349</f>
        <v>0.62302344529435</v>
      </c>
      <c r="I198" s="0" t="n">
        <f aca="false">_xlfn.NORM.DIST(H198,$E$346,$E$347,0)</f>
        <v>1.29094371742604</v>
      </c>
      <c r="J198" s="0" t="n">
        <f aca="false">_xlfn.NORM.DIST(H198,$E$346,$E$347,1)</f>
        <v>0.644169973660132</v>
      </c>
    </row>
    <row r="199" customFormat="false" ht="12.8" hidden="false" customHeight="false" outlineLevel="0" collapsed="false">
      <c r="A199" s="0" t="n">
        <f aca="false">'Исходные данные'!A199</f>
        <v>0.174106</v>
      </c>
      <c r="B199" s="0" t="n">
        <f aca="false">'Исходные данные'!B199</f>
        <v>102.511</v>
      </c>
      <c r="H199" s="0" t="n">
        <f aca="false">H198+6*$E$347/349</f>
        <v>0.627985493156546</v>
      </c>
      <c r="I199" s="0" t="n">
        <f aca="false">_xlfn.NORM.DIST(H199,$E$346,$E$347,0)</f>
        <v>1.28257670486906</v>
      </c>
      <c r="J199" s="0" t="n">
        <f aca="false">_xlfn.NORM.DIST(H199,$E$346,$E$347,1)</f>
        <v>0.650555074183574</v>
      </c>
    </row>
    <row r="200" customFormat="false" ht="12.8" hidden="false" customHeight="false" outlineLevel="0" collapsed="false">
      <c r="A200" s="0" t="n">
        <f aca="false">'Исходные данные'!A200</f>
        <v>0.7634</v>
      </c>
      <c r="B200" s="0" t="n">
        <f aca="false">'Исходные данные'!B200</f>
        <v>103.274</v>
      </c>
      <c r="H200" s="0" t="n">
        <f aca="false">H199+6*$E$347/349</f>
        <v>0.632947541018742</v>
      </c>
      <c r="I200" s="0" t="n">
        <f aca="false">_xlfn.NORM.DIST(H200,$E$346,$E$347,0)</f>
        <v>1.27388735056882</v>
      </c>
      <c r="J200" s="0" t="n">
        <f aca="false">_xlfn.NORM.DIST(H200,$E$346,$E$347,1)</f>
        <v>0.656897854481617</v>
      </c>
    </row>
    <row r="201" customFormat="false" ht="12.8" hidden="false" customHeight="false" outlineLevel="0" collapsed="false">
      <c r="A201" s="0" t="n">
        <f aca="false">'Исходные данные'!A201</f>
        <v>0.219235</v>
      </c>
      <c r="B201" s="0" t="n">
        <f aca="false">'Исходные данные'!B201</f>
        <v>103.493</v>
      </c>
      <c r="H201" s="0" t="n">
        <f aca="false">H200+6*$E$347/349</f>
        <v>0.637909588880937</v>
      </c>
      <c r="I201" s="0" t="n">
        <f aca="false">_xlfn.NORM.DIST(H201,$E$346,$E$347,0)</f>
        <v>1.2648829567305</v>
      </c>
      <c r="J201" s="0" t="n">
        <f aca="false">_xlfn.NORM.DIST(H201,$E$346,$E$347,1)</f>
        <v>0.663196733099727</v>
      </c>
    </row>
    <row r="202" customFormat="false" ht="12.8" hidden="false" customHeight="false" outlineLevel="0" collapsed="false">
      <c r="A202" s="0" t="n">
        <f aca="false">'Исходные данные'!A202</f>
        <v>0.321739</v>
      </c>
      <c r="B202" s="0" t="n">
        <f aca="false">'Исходные данные'!B202</f>
        <v>103.815</v>
      </c>
      <c r="H202" s="0" t="n">
        <f aca="false">H201+6*$E$347/349</f>
        <v>0.642871636743133</v>
      </c>
      <c r="I202" s="0" t="n">
        <f aca="false">_xlfn.NORM.DIST(H202,$E$346,$E$347,0)</f>
        <v>1.25557105334675</v>
      </c>
      <c r="J202" s="0" t="n">
        <f aca="false">_xlfn.NORM.DIST(H202,$E$346,$E$347,1)</f>
        <v>0.669450165386685</v>
      </c>
    </row>
    <row r="203" customFormat="false" ht="12.8" hidden="false" customHeight="false" outlineLevel="0" collapsed="false">
      <c r="A203" s="0" t="n">
        <f aca="false">'Исходные данные'!A203</f>
        <v>0.814461</v>
      </c>
      <c r="B203" s="0" t="n">
        <f aca="false">'Исходные данные'!B203</f>
        <v>104.63</v>
      </c>
      <c r="H203" s="0" t="n">
        <f aca="false">H202+6*$E$347/349</f>
        <v>0.647833684605329</v>
      </c>
      <c r="I203" s="0" t="n">
        <f aca="false">_xlfn.NORM.DIST(H203,$E$346,$E$347,0)</f>
        <v>1.24595938771877</v>
      </c>
      <c r="J203" s="0" t="n">
        <f aca="false">_xlfn.NORM.DIST(H203,$E$346,$E$347,1)</f>
        <v>0.67565664459899</v>
      </c>
    </row>
    <row r="204" customFormat="false" ht="12.8" hidden="false" customHeight="false" outlineLevel="0" collapsed="false">
      <c r="A204" s="0" t="n">
        <f aca="false">'Исходные данные'!A204</f>
        <v>0.408474</v>
      </c>
      <c r="B204" s="0" t="n">
        <f aca="false">'Исходные данные'!B204</f>
        <v>105.038</v>
      </c>
      <c r="H204" s="0" t="n">
        <f aca="false">H203+6*$E$347/349</f>
        <v>0.652795732467524</v>
      </c>
      <c r="I204" s="0" t="n">
        <f aca="false">_xlfn.NORM.DIST(H204,$E$346,$E$347,0)</f>
        <v>1.23605591373317</v>
      </c>
      <c r="J204" s="0" t="n">
        <f aca="false">_xlfn.NORM.DIST(H204,$E$346,$E$347,1)</f>
        <v>0.681814702952644</v>
      </c>
    </row>
    <row r="205" customFormat="false" ht="12.8" hidden="false" customHeight="false" outlineLevel="0" collapsed="false">
      <c r="A205" s="0" t="n">
        <f aca="false">'Исходные данные'!A205</f>
        <v>0.143596</v>
      </c>
      <c r="B205" s="0" t="n">
        <f aca="false">'Исходные данные'!B205</f>
        <v>105.182</v>
      </c>
      <c r="H205" s="0" t="n">
        <f aca="false">H204+6*$E$347/349</f>
        <v>0.65775778032972</v>
      </c>
      <c r="I205" s="0" t="n">
        <f aca="false">_xlfn.NORM.DIST(H205,$E$346,$E$347,0)</f>
        <v>1.22586878091525</v>
      </c>
      <c r="J205" s="0" t="n">
        <f aca="false">_xlfn.NORM.DIST(H205,$E$346,$E$347,1)</f>
        <v>0.687922912621171</v>
      </c>
    </row>
    <row r="206" customFormat="false" ht="12.8" hidden="false" customHeight="false" outlineLevel="0" collapsed="false">
      <c r="A206" s="0" t="n">
        <f aca="false">'Исходные данные'!A206</f>
        <v>0.814535</v>
      </c>
      <c r="B206" s="0" t="n">
        <f aca="false">'Исходные данные'!B206</f>
        <v>105.996</v>
      </c>
      <c r="H206" s="0" t="n">
        <f aca="false">H205+6*$E$347/349</f>
        <v>0.662719828191916</v>
      </c>
      <c r="I206" s="0" t="n">
        <f aca="false">_xlfn.NORM.DIST(H206,$E$346,$E$347,0)</f>
        <v>1.21540632327977</v>
      </c>
      <c r="J206" s="0" t="n">
        <f aca="false">_xlfn.NORM.DIST(H206,$E$346,$E$347,1)</f>
        <v>0.693979886678801</v>
      </c>
    </row>
    <row r="207" customFormat="false" ht="12.8" hidden="false" customHeight="false" outlineLevel="0" collapsed="false">
      <c r="A207" s="0" t="n">
        <f aca="false">'Исходные данные'!A207</f>
        <v>0.537004</v>
      </c>
      <c r="B207" s="0" t="n">
        <f aca="false">'Исходные данные'!B207</f>
        <v>106.533</v>
      </c>
      <c r="H207" s="0" t="n">
        <f aca="false">H206+6*$E$347/349</f>
        <v>0.667681876054111</v>
      </c>
      <c r="I207" s="0" t="n">
        <f aca="false">_xlfn.NORM.DIST(H207,$E$346,$E$347,0)</f>
        <v>1.20467704800047</v>
      </c>
      <c r="J207" s="0" t="n">
        <f aca="false">_xlfn.NORM.DIST(H207,$E$346,$E$347,1)</f>
        <v>0.699984279987876</v>
      </c>
    </row>
    <row r="208" customFormat="false" ht="12.8" hidden="false" customHeight="false" outlineLevel="0" collapsed="false">
      <c r="A208" s="0" t="n">
        <f aca="false">'Исходные данные'!A208</f>
        <v>0.340193</v>
      </c>
      <c r="B208" s="0" t="n">
        <f aca="false">'Исходные данные'!B208</f>
        <v>106.873</v>
      </c>
      <c r="H208" s="0" t="n">
        <f aca="false">H207+6*$E$347/349</f>
        <v>0.672643923916307</v>
      </c>
      <c r="I208" s="0" t="n">
        <f aca="false">_xlfn.NORM.DIST(H208,$E$346,$E$347,0)</f>
        <v>1.1936896239199</v>
      </c>
      <c r="J208" s="0" t="n">
        <f aca="false">_xlfn.NORM.DIST(H208,$E$346,$E$347,1)</f>
        <v>0.705934790029626</v>
      </c>
    </row>
    <row r="209" customFormat="false" ht="12.8" hidden="false" customHeight="false" outlineLevel="0" collapsed="false">
      <c r="A209" s="0" t="n">
        <f aca="false">'Исходные данные'!A209</f>
        <v>0.328503</v>
      </c>
      <c r="B209" s="0" t="n">
        <f aca="false">'Исходные данные'!B209</f>
        <v>107.202</v>
      </c>
      <c r="H209" s="0" t="n">
        <f aca="false">H208+6*$E$347/349</f>
        <v>0.677605971778503</v>
      </c>
      <c r="I209" s="0" t="n">
        <f aca="false">_xlfn.NORM.DIST(H209,$E$346,$E$347,0)</f>
        <v>1.18245286992116</v>
      </c>
      <c r="J209" s="0" t="n">
        <f aca="false">_xlfn.NORM.DIST(H209,$E$346,$E$347,1)</f>
        <v>0.711830157677581</v>
      </c>
    </row>
    <row r="210" customFormat="false" ht="12.8" hidden="false" customHeight="false" outlineLevel="0" collapsed="false">
      <c r="A210" s="0" t="n">
        <f aca="false">'Исходные данные'!A210</f>
        <v>0.666188</v>
      </c>
      <c r="B210" s="0" t="n">
        <f aca="false">'Исходные данные'!B210</f>
        <v>107.868</v>
      </c>
      <c r="H210" s="0" t="n">
        <f aca="false">H209+6*$E$347/349</f>
        <v>0.682568019640699</v>
      </c>
      <c r="I210" s="0" t="n">
        <f aca="false">_xlfn.NORM.DIST(H210,$E$346,$E$347,0)</f>
        <v>1.1709757431833</v>
      </c>
      <c r="J210" s="0" t="n">
        <f aca="false">_xlfn.NORM.DIST(H210,$E$346,$E$347,1)</f>
        <v>0.717669167912987</v>
      </c>
    </row>
    <row r="211" customFormat="false" ht="12.8" hidden="false" customHeight="false" outlineLevel="0" collapsed="false">
      <c r="A211" s="0" t="n">
        <f aca="false">'Исходные данные'!A211</f>
        <v>0.0186037</v>
      </c>
      <c r="B211" s="0" t="n">
        <f aca="false">'Исходные данные'!B211</f>
        <v>107.887</v>
      </c>
      <c r="H211" s="0" t="n">
        <f aca="false">H210+6*$E$347/349</f>
        <v>0.687530067502894</v>
      </c>
      <c r="I211" s="0" t="n">
        <f aca="false">_xlfn.NORM.DIST(H211,$E$346,$E$347,0)</f>
        <v>1.15926732734217</v>
      </c>
      <c r="J211" s="0" t="n">
        <f aca="false">_xlfn.NORM.DIST(H211,$E$346,$E$347,1)</f>
        <v>0.72345065048169</v>
      </c>
    </row>
    <row r="212" customFormat="false" ht="12.8" hidden="false" customHeight="false" outlineLevel="0" collapsed="false">
      <c r="A212" s="0" t="n">
        <f aca="false">'Исходные данные'!A212</f>
        <v>0.18108</v>
      </c>
      <c r="B212" s="0" t="n">
        <f aca="false">'Исходные данные'!B212</f>
        <v>108.068</v>
      </c>
      <c r="H212" s="0" t="n">
        <f aca="false">H211+6*$E$347/349</f>
        <v>0.69249211536509</v>
      </c>
      <c r="I212" s="0" t="n">
        <f aca="false">_xlfn.NORM.DIST(H212,$E$346,$E$347,0)</f>
        <v>1.14733682057851</v>
      </c>
      <c r="J212" s="0" t="n">
        <f aca="false">_xlfn.NORM.DIST(H212,$E$346,$E$347,1)</f>
        <v>0.729173480492105</v>
      </c>
    </row>
    <row r="213" customFormat="false" ht="12.8" hidden="false" customHeight="false" outlineLevel="0" collapsed="false">
      <c r="A213" s="0" t="n">
        <f aca="false">'Исходные данные'!A213</f>
        <v>0.325345</v>
      </c>
      <c r="B213" s="0" t="n">
        <f aca="false">'Исходные данные'!B213</f>
        <v>108.393</v>
      </c>
      <c r="H213" s="0" t="n">
        <f aca="false">H212+6*$E$347/349</f>
        <v>0.697454163227286</v>
      </c>
      <c r="I213" s="0" t="n">
        <f aca="false">_xlfn.NORM.DIST(H213,$E$346,$E$347,0)</f>
        <v>1.13519352365498</v>
      </c>
      <c r="J213" s="0" t="n">
        <f aca="false">_xlfn.NORM.DIST(H213,$E$346,$E$347,1)</f>
        <v>0.734836578953916</v>
      </c>
    </row>
    <row r="214" customFormat="false" ht="12.8" hidden="false" customHeight="false" outlineLevel="0" collapsed="false">
      <c r="A214" s="0" t="n">
        <f aca="false">'Исходные данные'!A214</f>
        <v>0.916683</v>
      </c>
      <c r="B214" s="0" t="n">
        <f aca="false">'Исходные данные'!B214</f>
        <v>109.31</v>
      </c>
      <c r="H214" s="0" t="n">
        <f aca="false">H213+6*$E$347/349</f>
        <v>0.702416211089481</v>
      </c>
      <c r="I214" s="0" t="n">
        <f aca="false">_xlfn.NORM.DIST(H214,$E$346,$E$347,0)</f>
        <v>1.1228468279238</v>
      </c>
      <c r="J214" s="0" t="n">
        <f aca="false">_xlfn.NORM.DIST(H214,$E$346,$E$347,1)</f>
        <v>0.74043891325736</v>
      </c>
    </row>
    <row r="215" customFormat="false" ht="12.8" hidden="false" customHeight="false" outlineLevel="0" collapsed="false">
      <c r="A215" s="0" t="n">
        <f aca="false">'Исходные данные'!A215</f>
        <v>0.179881</v>
      </c>
      <c r="B215" s="0" t="n">
        <f aca="false">'Исходные данные'!B215</f>
        <v>109.49</v>
      </c>
      <c r="H215" s="0" t="n">
        <f aca="false">H214+6*$E$347/349</f>
        <v>0.707378258951677</v>
      </c>
      <c r="I215" s="0" t="n">
        <f aca="false">_xlfn.NORM.DIST(H215,$E$346,$E$347,0)</f>
        <v>1.11030620332631</v>
      </c>
      <c r="J215" s="0" t="n">
        <f aca="false">_xlfn.NORM.DIST(H215,$E$346,$E$347,1)</f>
        <v>0.745979497592951</v>
      </c>
    </row>
    <row r="216" customFormat="false" ht="12.8" hidden="false" customHeight="false" outlineLevel="0" collapsed="false">
      <c r="A216" s="0" t="n">
        <f aca="false">'Исходные данные'!A216</f>
        <v>0.294887</v>
      </c>
      <c r="B216" s="0" t="n">
        <f aca="false">'Исходные данные'!B216</f>
        <v>109.785</v>
      </c>
      <c r="H216" s="0" t="n">
        <f aca="false">H215+6*$E$347/349</f>
        <v>0.712340306813873</v>
      </c>
      <c r="I216" s="0" t="n">
        <f aca="false">_xlfn.NORM.DIST(H216,$E$346,$E$347,0)</f>
        <v>1.0975811864059</v>
      </c>
      <c r="J216" s="0" t="n">
        <f aca="false">_xlfn.NORM.DIST(H216,$E$346,$E$347,1)</f>
        <v>0.751457393311699</v>
      </c>
    </row>
    <row r="217" customFormat="false" ht="12.8" hidden="false" customHeight="false" outlineLevel="0" collapsed="false">
      <c r="A217" s="0" t="n">
        <f aca="false">'Исходные данные'!A217</f>
        <v>0.905469</v>
      </c>
      <c r="B217" s="0" t="n">
        <f aca="false">'Исходные данные'!B217</f>
        <v>110.69</v>
      </c>
      <c r="H217" s="0" t="n">
        <f aca="false">H216+6*$E$347/349</f>
        <v>0.717302354676068</v>
      </c>
      <c r="I217" s="0" t="n">
        <f aca="false">_xlfn.NORM.DIST(H217,$E$346,$E$347,0)</f>
        <v>1.08468136835513</v>
      </c>
      <c r="J217" s="0" t="n">
        <f aca="false">_xlfn.NORM.DIST(H217,$E$346,$E$347,1)</f>
        <v>0.756871709225919</v>
      </c>
    </row>
    <row r="218" customFormat="false" ht="12.8" hidden="false" customHeight="false" outlineLevel="0" collapsed="false">
      <c r="A218" s="0" t="n">
        <f aca="false">'Исходные данные'!A218</f>
        <v>0.712882</v>
      </c>
      <c r="B218" s="0" t="n">
        <f aca="false">'Исходные данные'!B218</f>
        <v>111.403</v>
      </c>
      <c r="H218" s="0" t="n">
        <f aca="false">H217+6*$E$347/349</f>
        <v>0.722264402538264</v>
      </c>
      <c r="I218" s="0" t="n">
        <f aca="false">_xlfn.NORM.DIST(H218,$E$346,$E$347,0)</f>
        <v>1.07161638311784</v>
      </c>
      <c r="J218" s="0" t="n">
        <f aca="false">_xlfn.NORM.DIST(H218,$E$346,$E$347,1)</f>
        <v>0.762221601850853</v>
      </c>
    </row>
    <row r="219" customFormat="false" ht="12.8" hidden="false" customHeight="false" outlineLevel="0" collapsed="false">
      <c r="A219" s="0" t="n">
        <f aca="false">'Исходные данные'!A219</f>
        <v>0.675327</v>
      </c>
      <c r="B219" s="0" t="n">
        <f aca="false">'Исходные данные'!B219</f>
        <v>112.078</v>
      </c>
      <c r="H219" s="0" t="n">
        <f aca="false">H218+6*$E$347/349</f>
        <v>0.72722645040046</v>
      </c>
      <c r="I219" s="0" t="n">
        <f aca="false">_xlfn.NORM.DIST(H219,$E$346,$E$347,0)</f>
        <v>1.05839589556649</v>
      </c>
      <c r="J219" s="0" t="n">
        <f aca="false">_xlfn.NORM.DIST(H219,$E$346,$E$347,1)</f>
        <v>0.76750627558744</v>
      </c>
    </row>
    <row r="220" customFormat="false" ht="12.8" hidden="false" customHeight="false" outlineLevel="0" collapsed="false">
      <c r="A220" s="0" t="n">
        <f aca="false">'Исходные данные'!A220</f>
        <v>0.392521</v>
      </c>
      <c r="B220" s="0" t="n">
        <f aca="false">'Исходные данные'!B220</f>
        <v>112.471</v>
      </c>
      <c r="H220" s="0" t="n">
        <f aca="false">H219+6*$E$347/349</f>
        <v>0.732188498262655</v>
      </c>
      <c r="I220" s="0" t="n">
        <f aca="false">_xlfn.NORM.DIST(H220,$E$346,$E$347,0)</f>
        <v>1.04502958977478</v>
      </c>
      <c r="J220" s="0" t="n">
        <f aca="false">_xlfn.NORM.DIST(H220,$E$346,$E$347,1)</f>
        <v>0.772724982846645</v>
      </c>
    </row>
    <row r="221" customFormat="false" ht="12.8" hidden="false" customHeight="false" outlineLevel="0" collapsed="false">
      <c r="A221" s="0" t="n">
        <f aca="false">'Исходные данные'!A221</f>
        <v>0.754776</v>
      </c>
      <c r="B221" s="0" t="n">
        <f aca="false">'Исходные данные'!B221</f>
        <v>113.226</v>
      </c>
      <c r="H221" s="0" t="n">
        <f aca="false">H220+6*$E$347/349</f>
        <v>0.737150546124851</v>
      </c>
      <c r="I221" s="0" t="n">
        <f aca="false">_xlfn.NORM.DIST(H221,$E$346,$E$347,0)</f>
        <v>1.03152715740503</v>
      </c>
      <c r="J221" s="0" t="n">
        <f aca="false">_xlfn.NORM.DIST(H221,$E$346,$E$347,1)</f>
        <v>0.77787702411587</v>
      </c>
    </row>
    <row r="222" customFormat="false" ht="12.8" hidden="false" customHeight="false" outlineLevel="0" collapsed="false">
      <c r="A222" s="0" t="n">
        <f aca="false">'Исходные данные'!A222</f>
        <v>0.867366</v>
      </c>
      <c r="B222" s="0" t="n">
        <f aca="false">'Исходные данные'!B222</f>
        <v>114.093</v>
      </c>
      <c r="H222" s="0" t="n">
        <f aca="false">H221+6*$E$347/349</f>
        <v>0.742112593987047</v>
      </c>
      <c r="I222" s="0" t="n">
        <f aca="false">_xlfn.NORM.DIST(H222,$E$346,$E$347,0)</f>
        <v>1.01789828622932</v>
      </c>
      <c r="J222" s="0" t="n">
        <f aca="false">_xlfn.NORM.DIST(H222,$E$346,$E$347,1)</f>
        <v>0.782961747968079</v>
      </c>
    </row>
    <row r="223" customFormat="false" ht="12.8" hidden="false" customHeight="false" outlineLevel="0" collapsed="false">
      <c r="A223" s="0" t="n">
        <f aca="false">'Исходные данные'!A223</f>
        <v>0.0285797</v>
      </c>
      <c r="B223" s="0" t="n">
        <f aca="false">'Исходные данные'!B223</f>
        <v>114.121</v>
      </c>
      <c r="H223" s="0" t="n">
        <f aca="false">H222+6*$E$347/349</f>
        <v>0.747074641849242</v>
      </c>
      <c r="I223" s="0" t="n">
        <f aca="false">_xlfn.NORM.DIST(H223,$E$346,$E$347,0)</f>
        <v>1.00415264880302</v>
      </c>
      <c r="J223" s="0" t="n">
        <f aca="false">_xlfn.NORM.DIST(H223,$E$346,$E$347,1)</f>
        <v>0.787978551014318</v>
      </c>
    </row>
    <row r="224" customFormat="false" ht="12.8" hidden="false" customHeight="false" outlineLevel="0" collapsed="false">
      <c r="A224" s="0" t="n">
        <f aca="false">'Исходные данные'!A224</f>
        <v>0.268698</v>
      </c>
      <c r="B224" s="0" t="n">
        <f aca="false">'Исходные данные'!B224</f>
        <v>114.39</v>
      </c>
      <c r="H224" s="0" t="n">
        <f aca="false">H223+6*$E$347/349</f>
        <v>0.752036689711438</v>
      </c>
      <c r="I224" s="0" t="n">
        <f aca="false">_xlfn.NORM.DIST(H224,$E$346,$E$347,0)</f>
        <v>0.990299891308565</v>
      </c>
      <c r="J224" s="0" t="n">
        <f aca="false">_xlfn.NORM.DIST(H224,$E$346,$E$347,1)</f>
        <v>0.79292687780046</v>
      </c>
    </row>
    <row r="225" customFormat="false" ht="12.8" hidden="false" customHeight="false" outlineLevel="0" collapsed="false">
      <c r="A225" s="0" t="n">
        <f aca="false">'Исходные данные'!A225</f>
        <v>0.0974806</v>
      </c>
      <c r="B225" s="0" t="n">
        <f aca="false">'Исходные данные'!B225</f>
        <v>114.488</v>
      </c>
      <c r="H225" s="0" t="n">
        <f aca="false">H224+6*$E$347/349</f>
        <v>0.756998737573634</v>
      </c>
      <c r="I225" s="0" t="n">
        <f aca="false">_xlfn.NORM.DIST(H225,$E$346,$E$347,0)</f>
        <v>0.976349622587004</v>
      </c>
      <c r="J225" s="0" t="n">
        <f aca="false">_xlfn.NORM.DIST(H225,$E$346,$E$347,1)</f>
        <v>0.797806220649047</v>
      </c>
    </row>
    <row r="226" customFormat="false" ht="12.8" hidden="false" customHeight="false" outlineLevel="0" collapsed="false">
      <c r="A226" s="0" t="n">
        <f aca="false">'Исходные данные'!A226</f>
        <v>0.326727</v>
      </c>
      <c r="B226" s="0" t="n">
        <f aca="false">'Исходные данные'!B226</f>
        <v>114.814</v>
      </c>
      <c r="H226" s="0" t="n">
        <f aca="false">H225+6*$E$347/349</f>
        <v>0.761960785435829</v>
      </c>
      <c r="I226" s="0" t="n">
        <f aca="false">_xlfn.NORM.DIST(H226,$E$346,$E$347,0)</f>
        <v>0.962311403374002</v>
      </c>
      <c r="J226" s="0" t="n">
        <f aca="false">_xlfn.NORM.DIST(H226,$E$346,$E$347,1)</f>
        <v>0.802616119447206</v>
      </c>
    </row>
    <row r="227" customFormat="false" ht="12.8" hidden="false" customHeight="false" outlineLevel="0" collapsed="false">
      <c r="A227" s="0" t="n">
        <f aca="false">'Исходные данные'!A227</f>
        <v>0.755166</v>
      </c>
      <c r="B227" s="0" t="n">
        <f aca="false">'Исходные данные'!B227</f>
        <v>115.57</v>
      </c>
      <c r="H227" s="0" t="n">
        <f aca="false">H226+6*$E$347/349</f>
        <v>0.766922833298025</v>
      </c>
      <c r="I227" s="0" t="n">
        <f aca="false">_xlfn.NORM.DIST(H227,$E$346,$E$347,0)</f>
        <v>0.948194735756473</v>
      </c>
      <c r="J227" s="0" t="n">
        <f aca="false">_xlfn.NORM.DIST(H227,$E$346,$E$347,1)</f>
        <v>0.807356161381694</v>
      </c>
    </row>
    <row r="228" customFormat="false" ht="12.8" hidden="false" customHeight="false" outlineLevel="0" collapsed="false">
      <c r="A228" s="0" t="n">
        <f aca="false">'Исходные данные'!A228</f>
        <v>0.763165</v>
      </c>
      <c r="B228" s="0" t="n">
        <f aca="false">'Исходные данные'!B228</f>
        <v>116.333</v>
      </c>
      <c r="H228" s="0" t="n">
        <f aca="false">H227+6*$E$347/349</f>
        <v>0.771884881160221</v>
      </c>
      <c r="I228" s="0" t="n">
        <f aca="false">_xlfn.NORM.DIST(H228,$E$346,$E$347,0)</f>
        <v>0.934009052865282</v>
      </c>
      <c r="J228" s="0" t="n">
        <f aca="false">_xlfn.NORM.DIST(H228,$E$346,$E$347,1)</f>
        <v>0.812025980622211</v>
      </c>
    </row>
    <row r="229" customFormat="false" ht="12.8" hidden="false" customHeight="false" outlineLevel="0" collapsed="false">
      <c r="A229" s="0" t="n">
        <f aca="false">'Исходные данные'!A229</f>
        <v>0.113713</v>
      </c>
      <c r="B229" s="0" t="n">
        <f aca="false">'Исходные данные'!B229</f>
        <v>116.446</v>
      </c>
      <c r="H229" s="0" t="n">
        <f aca="false">H228+6*$E$347/349</f>
        <v>0.776846929022416</v>
      </c>
      <c r="I229" s="0" t="n">
        <f aca="false">_xlfn.NORM.DIST(H229,$E$346,$E$347,0)</f>
        <v>0.919763708818772</v>
      </c>
      <c r="J229" s="0" t="n">
        <f aca="false">_xlfn.NORM.DIST(H229,$E$346,$E$347,1)</f>
        <v>0.816625257954173</v>
      </c>
    </row>
    <row r="230" customFormat="false" ht="12.8" hidden="false" customHeight="false" outlineLevel="0" collapsed="false">
      <c r="A230" s="0" t="n">
        <f aca="false">'Исходные данные'!A230</f>
        <v>0.532727</v>
      </c>
      <c r="B230" s="0" t="n">
        <f aca="false">'Исходные данные'!B230</f>
        <v>116.979</v>
      </c>
      <c r="H230" s="0" t="n">
        <f aca="false">H229+6*$E$347/349</f>
        <v>0.781808976884612</v>
      </c>
      <c r="I230" s="0" t="n">
        <f aca="false">_xlfn.NORM.DIST(H230,$E$346,$E$347,0)</f>
        <v>0.905467968931121</v>
      </c>
      <c r="J230" s="0" t="n">
        <f aca="false">_xlfn.NORM.DIST(H230,$E$346,$E$347,1)</f>
        <v>0.821153720362247</v>
      </c>
    </row>
    <row r="231" customFormat="false" ht="12.8" hidden="false" customHeight="false" outlineLevel="0" collapsed="false">
      <c r="A231" s="0" t="n">
        <f aca="false">'Исходные данные'!A231</f>
        <v>0.553166</v>
      </c>
      <c r="B231" s="0" t="n">
        <f aca="false">'Исходные данные'!B231</f>
        <v>117.532</v>
      </c>
      <c r="H231" s="0" t="n">
        <f aca="false">H230+6*$E$347/349</f>
        <v>0.786771024746808</v>
      </c>
      <c r="I231" s="0" t="n">
        <f aca="false">_xlfn.NORM.DIST(H231,$E$346,$E$347,0)</f>
        <v>0.891131000198815</v>
      </c>
      <c r="J231" s="0" t="n">
        <f aca="false">_xlfn.NORM.DIST(H231,$E$346,$E$347,1)</f>
        <v>0.82561114056598</v>
      </c>
    </row>
    <row r="232" customFormat="false" ht="12.8" hidden="false" customHeight="false" outlineLevel="0" collapsed="false">
      <c r="A232" s="0" t="n">
        <f aca="false">'Исходные данные'!A232</f>
        <v>0.64539</v>
      </c>
      <c r="B232" s="0" t="n">
        <f aca="false">'Исходные данные'!B232</f>
        <v>118.178</v>
      </c>
      <c r="H232" s="0" t="n">
        <f aca="false">H231+6*$E$347/349</f>
        <v>0.791733072609003</v>
      </c>
      <c r="I232" s="0" t="n">
        <f aca="false">_xlfn.NORM.DIST(H232,$E$346,$E$347,0)</f>
        <v>0.876761862077706</v>
      </c>
      <c r="J232" s="0" t="n">
        <f aca="false">_xlfn.NORM.DIST(H232,$E$346,$E$347,1)</f>
        <v>0.829997336508934</v>
      </c>
    </row>
    <row r="233" customFormat="false" ht="12.8" hidden="false" customHeight="false" outlineLevel="0" collapsed="false">
      <c r="A233" s="0" t="n">
        <f aca="false">'Исходные данные'!A233</f>
        <v>0.466504</v>
      </c>
      <c r="B233" s="0" t="n">
        <f aca="false">'Исходные данные'!B233</f>
        <v>118.644</v>
      </c>
      <c r="H233" s="0" t="n">
        <f aca="false">H232+6*$E$347/349</f>
        <v>0.796695120471199</v>
      </c>
      <c r="I233" s="0" t="n">
        <f aca="false">_xlfn.NORM.DIST(H233,$E$346,$E$347,0)</f>
        <v>0.862369497562395</v>
      </c>
      <c r="J233" s="0" t="n">
        <f aca="false">_xlfn.NORM.DIST(H233,$E$346,$E$347,1)</f>
        <v>0.834312170802806</v>
      </c>
    </row>
    <row r="234" customFormat="false" ht="12.8" hidden="false" customHeight="false" outlineLevel="0" collapsed="false">
      <c r="A234" s="0" t="n">
        <f aca="false">'Исходные данные'!A234</f>
        <v>0.915454</v>
      </c>
      <c r="B234" s="0" t="n">
        <f aca="false">'Исходные данные'!B234</f>
        <v>119.56</v>
      </c>
      <c r="H234" s="0" t="n">
        <f aca="false">H233+6*$E$347/349</f>
        <v>0.801657168333395</v>
      </c>
      <c r="I234" s="0" t="n">
        <f aca="false">_xlfn.NORM.DIST(H234,$E$346,$E$347,0)</f>
        <v>0.847962724578813</v>
      </c>
      <c r="J234" s="0" t="n">
        <f aca="false">_xlfn.NORM.DIST(H234,$E$346,$E$347,1)</f>
        <v>0.838555550128056</v>
      </c>
    </row>
    <row r="235" customFormat="false" ht="12.8" hidden="false" customHeight="false" outlineLevel="0" collapsed="false">
      <c r="A235" s="0" t="n">
        <f aca="false">'Исходные данные'!A235</f>
        <v>0.819373</v>
      </c>
      <c r="B235" s="0" t="n">
        <f aca="false">'Исходные данные'!B235</f>
        <v>120.379</v>
      </c>
      <c r="H235" s="0" t="n">
        <f aca="false">H234+6*$E$347/349</f>
        <v>0.80661921619559</v>
      </c>
      <c r="I235" s="0" t="n">
        <f aca="false">_xlfn.NORM.DIST(H235,$E$346,$E$347,0)</f>
        <v>0.833550227700105</v>
      </c>
      <c r="J235" s="0" t="n">
        <f aca="false">_xlfn.NORM.DIST(H235,$E$346,$E$347,1)</f>
        <v>0.842727424592621</v>
      </c>
    </row>
    <row r="236" customFormat="false" ht="12.8" hidden="false" customHeight="false" outlineLevel="0" collapsed="false">
      <c r="A236" s="0" t="n">
        <f aca="false">'Исходные данные'!A236</f>
        <v>0.874797</v>
      </c>
      <c r="B236" s="0" t="n">
        <f aca="false">'Исходные данные'!B236</f>
        <v>121.254</v>
      </c>
      <c r="H236" s="0" t="n">
        <f aca="false">H235+6*$E$347/349</f>
        <v>0.811581264057786</v>
      </c>
      <c r="I236" s="0" t="n">
        <f aca="false">_xlfn.NORM.DIST(H236,$E$346,$E$347,0)</f>
        <v>0.819140550195072</v>
      </c>
      <c r="J236" s="0" t="n">
        <f aca="false">_xlfn.NORM.DIST(H236,$E$346,$E$347,1)</f>
        <v>0.846827787050342</v>
      </c>
    </row>
    <row r="237" customFormat="false" ht="12.8" hidden="false" customHeight="false" outlineLevel="0" collapsed="false">
      <c r="A237" s="0" t="n">
        <f aca="false">'Исходные данные'!A237</f>
        <v>0.77883</v>
      </c>
      <c r="B237" s="0" t="n">
        <f aca="false">'Исходные данные'!B237</f>
        <v>122.033</v>
      </c>
      <c r="H237" s="0" t="n">
        <f aca="false">H236+6*$E$347/349</f>
        <v>0.816543311919982</v>
      </c>
      <c r="I237" s="0" t="n">
        <f aca="false">_xlfn.NORM.DIST(H237,$E$346,$E$347,0)</f>
        <v>0.804742086417589</v>
      </c>
      <c r="J237" s="0" t="n">
        <f aca="false">_xlfn.NORM.DIST(H237,$E$346,$E$347,1)</f>
        <v>0.850856672380784</v>
      </c>
    </row>
    <row r="238" customFormat="false" ht="12.8" hidden="false" customHeight="false" outlineLevel="0" collapsed="false">
      <c r="A238" s="0" t="n">
        <f aca="false">'Исходные данные'!A238</f>
        <v>0.484599</v>
      </c>
      <c r="B238" s="0" t="n">
        <f aca="false">'Исходные данные'!B238</f>
        <v>122.517</v>
      </c>
      <c r="H238" s="0" t="n">
        <f aca="false">H237+6*$E$347/349</f>
        <v>0.821505359782177</v>
      </c>
      <c r="I238" s="0" t="n">
        <f aca="false">_xlfn.NORM.DIST(H238,$E$346,$E$347,0)</f>
        <v>0.790363074544585</v>
      </c>
      <c r="J238" s="0" t="n">
        <f aca="false">_xlfn.NORM.DIST(H238,$E$346,$E$347,1)</f>
        <v>0.85481415673215</v>
      </c>
    </row>
    <row r="239" customFormat="false" ht="12.8" hidden="false" customHeight="false" outlineLevel="0" collapsed="false">
      <c r="A239" s="0" t="n">
        <f aca="false">'Исходные данные'!A239</f>
        <v>0.646357</v>
      </c>
      <c r="B239" s="0" t="n">
        <f aca="false">'Исходные данные'!B239</f>
        <v>123.164</v>
      </c>
      <c r="H239" s="0" t="n">
        <f aca="false">H238+6*$E$347/349</f>
        <v>0.826467407644373</v>
      </c>
      <c r="I239" s="0" t="n">
        <f aca="false">_xlfn.NORM.DIST(H239,$E$346,$E$347,0)</f>
        <v>0.776011589669332</v>
      </c>
      <c r="J239" s="0" t="n">
        <f aca="false">_xlfn.NORM.DIST(H239,$E$346,$E$347,1)</f>
        <v>0.858700356729037</v>
      </c>
    </row>
    <row r="240" customFormat="false" ht="12.8" hidden="false" customHeight="false" outlineLevel="0" collapsed="false">
      <c r="A240" s="0" t="n">
        <f aca="false">'Исходные данные'!A240</f>
        <v>0.846688</v>
      </c>
      <c r="B240" s="0" t="n">
        <f aca="false">'Исходные данные'!B240</f>
        <v>124.01</v>
      </c>
      <c r="H240" s="0" t="n">
        <f aca="false">H239+6*$E$347/349</f>
        <v>0.831429455506569</v>
      </c>
      <c r="I240" s="0" t="n">
        <f aca="false">_xlfn.NORM.DIST(H240,$E$346,$E$347,0)</f>
        <v>0.761695537255914</v>
      </c>
      <c r="J240" s="0" t="n">
        <f aca="false">_xlfn.NORM.DIST(H240,$E$346,$E$347,1)</f>
        <v>0.862515428646818</v>
      </c>
    </row>
    <row r="241" customFormat="false" ht="12.8" hidden="false" customHeight="false" outlineLevel="0" collapsed="false">
      <c r="A241" s="0" t="n">
        <f aca="false">'Исходные данные'!A241</f>
        <v>0.554387</v>
      </c>
      <c r="B241" s="0" t="n">
        <f aca="false">'Исходные данные'!B241</f>
        <v>124.565</v>
      </c>
      <c r="H241" s="0" t="n">
        <f aca="false">H240+6*$E$347/349</f>
        <v>0.836391503368764</v>
      </c>
      <c r="I241" s="0" t="n">
        <f aca="false">_xlfn.NORM.DIST(H241,$E$346,$E$347,0)</f>
        <v>0.747422646959949</v>
      </c>
      <c r="J241" s="0" t="n">
        <f aca="false">_xlfn.NORM.DIST(H241,$E$346,$E$347,1)</f>
        <v>0.866259567554453</v>
      </c>
    </row>
    <row r="242" customFormat="false" ht="12.8" hidden="false" customHeight="false" outlineLevel="0" collapsed="false">
      <c r="A242" s="0" t="n">
        <f aca="false">'Исходные данные'!A242</f>
        <v>0.313318</v>
      </c>
      <c r="B242" s="0" t="n">
        <f aca="false">'Исходные данные'!B242</f>
        <v>124.878</v>
      </c>
      <c r="H242" s="0" t="n">
        <f aca="false">H241+6*$E$347/349</f>
        <v>0.84135355123096</v>
      </c>
      <c r="I242" s="0" t="n">
        <f aca="false">_xlfn.NORM.DIST(H242,$E$346,$E$347,0)</f>
        <v>0.733200466819746</v>
      </c>
      <c r="J242" s="0" t="n">
        <f aca="false">_xlfn.NORM.DIST(H242,$E$346,$E$347,1)</f>
        <v>0.869933006427549</v>
      </c>
    </row>
    <row r="243" customFormat="false" ht="12.8" hidden="false" customHeight="false" outlineLevel="0" collapsed="false">
      <c r="A243" s="0" t="n">
        <f aca="false">'Исходные данные'!A243</f>
        <v>0.852936</v>
      </c>
      <c r="B243" s="0" t="n">
        <f aca="false">'Исходные данные'!B243</f>
        <v>125.731</v>
      </c>
      <c r="H243" s="0" t="n">
        <f aca="false">H242+6*$E$347/349</f>
        <v>0.846315599093156</v>
      </c>
      <c r="I243" s="0" t="n">
        <f aca="false">_xlfn.NORM.DIST(H243,$E$346,$E$347,0)</f>
        <v>0.719036357821281</v>
      </c>
      <c r="J243" s="0" t="n">
        <f aca="false">_xlfn.NORM.DIST(H243,$E$346,$E$347,1)</f>
        <v>0.87353601523353</v>
      </c>
    </row>
    <row r="244" customFormat="false" ht="12.8" hidden="false" customHeight="false" outlineLevel="0" collapsed="false">
      <c r="A244" s="0" t="n">
        <f aca="false">'Исходные данные'!A244</f>
        <v>0.624761</v>
      </c>
      <c r="B244" s="0" t="n">
        <f aca="false">'Исходные данные'!B244</f>
        <v>126.356</v>
      </c>
      <c r="H244" s="0" t="n">
        <f aca="false">H243+6*$E$347/349</f>
        <v>0.851277646955351</v>
      </c>
      <c r="I244" s="0" t="n">
        <f aca="false">_xlfn.NORM.DIST(H244,$E$346,$E$347,0)</f>
        <v>0.704937488839535</v>
      </c>
      <c r="J244" s="0" t="n">
        <f aca="false">_xlfn.NORM.DIST(H244,$E$346,$E$347,1)</f>
        <v>0.877068899990766</v>
      </c>
    </row>
    <row r="245" customFormat="false" ht="12.8" hidden="false" customHeight="false" outlineLevel="0" collapsed="false">
      <c r="A245" s="0" t="n">
        <f aca="false">'Исходные данные'!A245</f>
        <v>0.456077</v>
      </c>
      <c r="B245" s="0" t="n">
        <f aca="false">'Исходные данные'!B245</f>
        <v>126.812</v>
      </c>
      <c r="H245" s="0" t="n">
        <f aca="false">H244+6*$E$347/349</f>
        <v>0.856239694817547</v>
      </c>
      <c r="I245" s="0" t="n">
        <f aca="false">_xlfn.NORM.DIST(H245,$E$346,$E$347,0)</f>
        <v>0.690910831957898</v>
      </c>
      <c r="J245" s="0" t="n">
        <f aca="false">_xlfn.NORM.DIST(H245,$E$346,$E$347,1)</f>
        <v>0.880532001803541</v>
      </c>
    </row>
    <row r="246" customFormat="false" ht="12.8" hidden="false" customHeight="false" outlineLevel="0" collapsed="false">
      <c r="A246" s="0" t="n">
        <f aca="false">'Исходные данные'!A246</f>
        <v>0.645857</v>
      </c>
      <c r="B246" s="0" t="n">
        <f aca="false">'Исходные данные'!B246</f>
        <v>127.458</v>
      </c>
      <c r="H246" s="0" t="n">
        <f aca="false">H245+6*$E$347/349</f>
        <v>0.861201742679743</v>
      </c>
      <c r="I246" s="0" t="n">
        <f aca="false">_xlfn.NORM.DIST(H246,$E$346,$E$347,0)</f>
        <v>0.67696315816658</v>
      </c>
      <c r="J246" s="0" t="n">
        <f aca="false">_xlfn.NORM.DIST(H246,$E$346,$E$347,1)</f>
        <v>0.883925695874732</v>
      </c>
    </row>
    <row r="247" customFormat="false" ht="12.8" hidden="false" customHeight="false" outlineLevel="0" collapsed="false">
      <c r="A247" s="0" t="n">
        <f aca="false">'Исходные данные'!A247</f>
        <v>0.412797</v>
      </c>
      <c r="B247" s="0" t="n">
        <f aca="false">'Исходные данные'!B247</f>
        <v>127.87</v>
      </c>
      <c r="H247" s="0" t="n">
        <f aca="false">H246+6*$E$347/349</f>
        <v>0.866163790541938</v>
      </c>
      <c r="I247" s="0" t="n">
        <f aca="false">_xlfn.NORM.DIST(H247,$E$346,$E$347,0)</f>
        <v>0.663101033440127</v>
      </c>
      <c r="J247" s="0" t="n">
        <f aca="false">_xlfn.NORM.DIST(H247,$E$346,$E$347,1)</f>
        <v>0.887250390498091</v>
      </c>
    </row>
    <row r="248" customFormat="false" ht="12.8" hidden="false" customHeight="false" outlineLevel="0" collapsed="false">
      <c r="A248" s="0" t="n">
        <f aca="false">'Исходные данные'!A248</f>
        <v>0.448331</v>
      </c>
      <c r="B248" s="0" t="n">
        <f aca="false">'Исходные данные'!B248</f>
        <v>128.319</v>
      </c>
      <c r="H248" s="0" t="n">
        <f aca="false">H247+6*$E$347/349</f>
        <v>0.871125838404134</v>
      </c>
      <c r="I248" s="0" t="n">
        <f aca="false">_xlfn.NORM.DIST(H248,$E$346,$E$347,0)</f>
        <v>0.649330815193395</v>
      </c>
      <c r="J248" s="0" t="n">
        <f aca="false">_xlfn.NORM.DIST(H248,$E$346,$E$347,1)</f>
        <v>0.890506526031994</v>
      </c>
    </row>
    <row r="249" customFormat="false" ht="12.8" hidden="false" customHeight="false" outlineLevel="0" collapsed="false">
      <c r="A249" s="0" t="n">
        <f aca="false">'Исходные данные'!A249</f>
        <v>0.566927</v>
      </c>
      <c r="B249" s="0" t="n">
        <f aca="false">'Исходные данные'!B249</f>
        <v>128.886</v>
      </c>
      <c r="H249" s="0" t="n">
        <f aca="false">H248+6*$E$347/349</f>
        <v>0.87608788626633</v>
      </c>
      <c r="I249" s="0" t="n">
        <f aca="false">_xlfn.NORM.DIST(H249,$E$346,$E$347,0)</f>
        <v>0.635658649114563</v>
      </c>
      <c r="J249" s="0" t="n">
        <f aca="false">_xlfn.NORM.DIST(H249,$E$346,$E$347,1)</f>
        <v>0.893694573856547</v>
      </c>
    </row>
    <row r="250" customFormat="false" ht="12.8" hidden="false" customHeight="false" outlineLevel="0" collapsed="false">
      <c r="A250" s="0" t="n">
        <f aca="false">'Исходные данные'!A250</f>
        <v>0.676287</v>
      </c>
      <c r="B250" s="0" t="n">
        <f aca="false">'Исходные данные'!B250</f>
        <v>129.562</v>
      </c>
      <c r="H250" s="0" t="n">
        <f aca="false">H249+6*$E$347/349</f>
        <v>0.881049934128525</v>
      </c>
      <c r="I250" s="0" t="n">
        <f aca="false">_xlfn.NORM.DIST(H250,$E$346,$E$347,0)</f>
        <v>0.622090466373015</v>
      </c>
      <c r="J250" s="0" t="n">
        <f aca="false">_xlfn.NORM.DIST(H250,$E$346,$E$347,1)</f>
        <v>0.896815035315907</v>
      </c>
    </row>
    <row r="251" customFormat="false" ht="12.8" hidden="false" customHeight="false" outlineLevel="0" collapsed="false">
      <c r="A251" s="0" t="n">
        <f aca="false">'Исходные данные'!A251</f>
        <v>0.827679</v>
      </c>
      <c r="B251" s="0" t="n">
        <f aca="false">'Исходные данные'!B251</f>
        <v>130.39</v>
      </c>
      <c r="H251" s="0" t="n">
        <f aca="false">H250+6*$E$347/349</f>
        <v>0.886011981990721</v>
      </c>
      <c r="I251" s="0" t="n">
        <f aca="false">_xlfn.NORM.DIST(H251,$E$346,$E$347,0)</f>
        <v>0.608631981199215</v>
      </c>
      <c r="J251" s="0" t="n">
        <f aca="false">_xlfn.NORM.DIST(H251,$E$346,$E$347,1)</f>
        <v>0.899868440647668</v>
      </c>
    </row>
    <row r="252" customFormat="false" ht="12.8" hidden="false" customHeight="false" outlineLevel="0" collapsed="false">
      <c r="A252" s="0" t="n">
        <f aca="false">'Исходные данные'!A252</f>
        <v>0.132238</v>
      </c>
      <c r="B252" s="0" t="n">
        <f aca="false">'Исходные данные'!B252</f>
        <v>130.522</v>
      </c>
      <c r="H252" s="0" t="n">
        <f aca="false">H251+6*$E$347/349</f>
        <v>0.890974029852917</v>
      </c>
      <c r="I252" s="0" t="n">
        <f aca="false">_xlfn.NORM.DIST(H252,$E$346,$E$347,0)</f>
        <v>0.595288688832984</v>
      </c>
      <c r="J252" s="0" t="n">
        <f aca="false">_xlfn.NORM.DIST(H252,$E$346,$E$347,1)</f>
        <v>0.902855347901164</v>
      </c>
    </row>
    <row r="253" customFormat="false" ht="12.8" hidden="false" customHeight="false" outlineLevel="0" collapsed="false">
      <c r="A253" s="0" t="n">
        <f aca="false">'Исходные данные'!A253</f>
        <v>0.617329</v>
      </c>
      <c r="B253" s="0" t="n">
        <f aca="false">'Исходные данные'!B253</f>
        <v>131.139</v>
      </c>
      <c r="H253" s="0" t="n">
        <f aca="false">H252+6*$E$347/349</f>
        <v>0.895936077715112</v>
      </c>
      <c r="I253" s="0" t="n">
        <f aca="false">_xlfn.NORM.DIST(H253,$E$346,$E$347,0)</f>
        <v>0.582065863835909</v>
      </c>
      <c r="J253" s="0" t="n">
        <f aca="false">_xlfn.NORM.DIST(H253,$E$346,$E$347,1)</f>
        <v>0.905776341846487</v>
      </c>
    </row>
    <row r="254" customFormat="false" ht="12.8" hidden="false" customHeight="false" outlineLevel="0" collapsed="false">
      <c r="A254" s="0" t="n">
        <f aca="false">'Исходные данные'!A254</f>
        <v>0.548412</v>
      </c>
      <c r="B254" s="0" t="n">
        <f aca="false">'Исходные данные'!B254</f>
        <v>131.688</v>
      </c>
      <c r="H254" s="0" t="n">
        <f aca="false">H253+6*$E$347/349</f>
        <v>0.900898125577308</v>
      </c>
      <c r="I254" s="0" t="n">
        <f aca="false">_xlfn.NORM.DIST(H254,$E$346,$E$347,0)</f>
        <v>0.568968558762982</v>
      </c>
      <c r="J254" s="0" t="n">
        <f aca="false">_xlfn.NORM.DIST(H254,$E$346,$E$347,1)</f>
        <v>0.908632032876026</v>
      </c>
    </row>
    <row r="255" customFormat="false" ht="12.8" hidden="false" customHeight="false" outlineLevel="0" collapsed="false">
      <c r="A255" s="0" t="n">
        <f aca="false">'Исходные данные'!A255</f>
        <v>0.981864</v>
      </c>
      <c r="B255" s="0" t="n">
        <f aca="false">'Исходные данные'!B255</f>
        <v>132.669</v>
      </c>
      <c r="H255" s="0" t="n">
        <f aca="false">H254+6*$E$347/349</f>
        <v>0.905860173439504</v>
      </c>
      <c r="I255" s="0" t="n">
        <f aca="false">_xlfn.NORM.DIST(H255,$E$346,$E$347,0)</f>
        <v>0.556001603187908</v>
      </c>
      <c r="J255" s="0" t="n">
        <f aca="false">_xlfn.NORM.DIST(H255,$E$346,$E$347,1)</f>
        <v>0.911423055900299</v>
      </c>
    </row>
    <row r="256" customFormat="false" ht="12.8" hidden="false" customHeight="false" outlineLevel="0" collapsed="false">
      <c r="A256" s="0" t="n">
        <f aca="false">'Исходные данные'!A256</f>
        <v>0.955039</v>
      </c>
      <c r="B256" s="0" t="n">
        <f aca="false">'Исходные данные'!B256</f>
        <v>133.625</v>
      </c>
      <c r="H256" s="0" t="n">
        <f aca="false">H255+6*$E$347/349</f>
        <v>0.910822221301699</v>
      </c>
      <c r="I256" s="0" t="n">
        <f aca="false">_xlfn.NORM.DIST(H256,$E$346,$E$347,0)</f>
        <v>0.543169603075942</v>
      </c>
      <c r="J256" s="0" t="n">
        <f aca="false">_xlfn.NORM.DIST(H256,$E$346,$E$347,1)</f>
        <v>0.914150069239813</v>
      </c>
    </row>
    <row r="257" customFormat="false" ht="12.8" hidden="false" customHeight="false" outlineLevel="0" collapsed="false">
      <c r="A257" s="0" t="n">
        <f aca="false">'Исходные данные'!A257</f>
        <v>0.634829</v>
      </c>
      <c r="B257" s="0" t="n">
        <f aca="false">'Исходные данные'!B257</f>
        <v>134.259</v>
      </c>
      <c r="H257" s="0" t="n">
        <f aca="false">H256+6*$E$347/349</f>
        <v>0.915784269163895</v>
      </c>
      <c r="I257" s="0" t="n">
        <f aca="false">_xlfn.NORM.DIST(H257,$E$346,$E$347,0)</f>
        <v>0.530476940497545</v>
      </c>
      <c r="J257" s="0" t="n">
        <f aca="false">_xlfn.NORM.DIST(H257,$E$346,$E$347,1)</f>
        <v>0.916813753514652</v>
      </c>
    </row>
    <row r="258" customFormat="false" ht="12.8" hidden="false" customHeight="false" outlineLevel="0" collapsed="false">
      <c r="A258" s="0" t="n">
        <f aca="false">'Исходные данные'!A258</f>
        <v>0.302456</v>
      </c>
      <c r="B258" s="0" t="n">
        <f aca="false">'Исходные данные'!B258</f>
        <v>134.562</v>
      </c>
      <c r="H258" s="0" t="n">
        <f aca="false">H257+6*$E$347/349</f>
        <v>0.920746317026091</v>
      </c>
      <c r="I258" s="0" t="n">
        <f aca="false">_xlfn.NORM.DIST(H258,$E$346,$E$347,0)</f>
        <v>0.517927773675571</v>
      </c>
      <c r="J258" s="0" t="n">
        <f aca="false">_xlfn.NORM.DIST(H258,$E$346,$E$347,1)</f>
        <v>0.919414810533486</v>
      </c>
    </row>
    <row r="259" customFormat="false" ht="12.8" hidden="false" customHeight="false" outlineLevel="0" collapsed="false">
      <c r="A259" s="0" t="n">
        <f aca="false">'Исходные данные'!A259</f>
        <v>0.119985</v>
      </c>
      <c r="B259" s="0" t="n">
        <f aca="false">'Исходные данные'!B259</f>
        <v>134.682</v>
      </c>
      <c r="H259" s="0" t="n">
        <f aca="false">H258+6*$E$347/349</f>
        <v>0.925708364888287</v>
      </c>
      <c r="I259" s="0" t="n">
        <f aca="false">_xlfn.NORM.DIST(H259,$E$346,$E$347,0)</f>
        <v>0.505526037358236</v>
      </c>
      <c r="J259" s="0" t="n">
        <f aca="false">_xlfn.NORM.DIST(H259,$E$346,$E$347,1)</f>
        <v>0.921953962183621</v>
      </c>
    </row>
    <row r="260" customFormat="false" ht="12.8" hidden="false" customHeight="false" outlineLevel="0" collapsed="false">
      <c r="A260" s="0" t="n">
        <f aca="false">'Исходные данные'!A260</f>
        <v>0.376258</v>
      </c>
      <c r="B260" s="0" t="n">
        <f aca="false">'Исходные данные'!B260</f>
        <v>135.058</v>
      </c>
      <c r="H260" s="0" t="n">
        <f aca="false">H259+6*$E$347/349</f>
        <v>0.930670412750482</v>
      </c>
      <c r="I260" s="0" t="n">
        <f aca="false">_xlfn.NORM.DIST(H260,$E$346,$E$347,0)</f>
        <v>0.493275443509574</v>
      </c>
      <c r="J260" s="0" t="n">
        <f aca="false">_xlfn.NORM.DIST(H260,$E$346,$E$347,1)</f>
        <v>0.924431949323686</v>
      </c>
    </row>
    <row r="261" customFormat="false" ht="12.8" hidden="false" customHeight="false" outlineLevel="0" collapsed="false">
      <c r="A261" s="0" t="n">
        <f aca="false">'Исходные данные'!A261</f>
        <v>0.634369</v>
      </c>
      <c r="B261" s="0" t="n">
        <f aca="false">'Исходные данные'!B261</f>
        <v>135.692</v>
      </c>
      <c r="H261" s="0" t="n">
        <f aca="false">H260+6*$E$347/349</f>
        <v>0.935632460612678</v>
      </c>
      <c r="I261" s="0" t="n">
        <f aca="false">_xlfn.NORM.DIST(H261,$E$346,$E$347,0)</f>
        <v>0.481179482308688</v>
      </c>
      <c r="J261" s="0" t="n">
        <f aca="false">_xlfn.NORM.DIST(H261,$E$346,$E$347,1)</f>
        <v>0.926849530680526</v>
      </c>
    </row>
    <row r="262" customFormat="false" ht="12.8" hidden="false" customHeight="false" outlineLevel="0" collapsed="false">
      <c r="A262" s="0" t="n">
        <f aca="false">'Исходные данные'!A262</f>
        <v>0.159404</v>
      </c>
      <c r="B262" s="0" t="n">
        <f aca="false">'Исходные данные'!B262</f>
        <v>135.852</v>
      </c>
      <c r="H262" s="0" t="n">
        <f aca="false">H261+6*$E$347/349</f>
        <v>0.940594508474874</v>
      </c>
      <c r="I262" s="0" t="n">
        <f aca="false">_xlfn.NORM.DIST(H262,$E$346,$E$347,0)</f>
        <v>0.469241423448632</v>
      </c>
      <c r="J262" s="0" t="n">
        <f aca="false">_xlfn.NORM.DIST(H262,$E$346,$E$347,1)</f>
        <v>0.929207481751792</v>
      </c>
    </row>
    <row r="263" customFormat="false" ht="12.8" hidden="false" customHeight="false" outlineLevel="0" collapsed="false">
      <c r="A263" s="0" t="n">
        <f aca="false">'Исходные данные'!A263</f>
        <v>0.197509</v>
      </c>
      <c r="B263" s="0" t="n">
        <f aca="false">'Исходные данные'!B263</f>
        <v>136.049</v>
      </c>
      <c r="H263" s="0" t="n">
        <f aca="false">H262+6*$E$347/349</f>
        <v>0.945556556337069</v>
      </c>
      <c r="I263" s="0" t="n">
        <f aca="false">_xlfn.NORM.DIST(H263,$E$346,$E$347,0)</f>
        <v>0.457464317725397</v>
      </c>
      <c r="J263" s="0" t="n">
        <f aca="false">_xlfn.NORM.DIST(H263,$E$346,$E$347,1)</f>
        <v>0.931506593715703</v>
      </c>
    </row>
    <row r="264" customFormat="false" ht="12.8" hidden="false" customHeight="false" outlineLevel="0" collapsed="false">
      <c r="A264" s="0" t="n">
        <f aca="false">'Исходные данные'!A264</f>
        <v>0.0747807</v>
      </c>
      <c r="B264" s="0" t="n">
        <f aca="false">'Исходные данные'!B264</f>
        <v>136.124</v>
      </c>
      <c r="H264" s="0" t="n">
        <f aca="false">H263+6*$E$347/349</f>
        <v>0.950518604199265</v>
      </c>
      <c r="I264" s="0" t="n">
        <f aca="false">_xlfn.NORM.DIST(H264,$E$346,$E$347,0)</f>
        <v>0.445850998907114</v>
      </c>
      <c r="J264" s="0" t="n">
        <f aca="false">_xlfn.NORM.DIST(H264,$E$346,$E$347,1)</f>
        <v>0.933747672349395</v>
      </c>
    </row>
    <row r="265" customFormat="false" ht="12.8" hidden="false" customHeight="false" outlineLevel="0" collapsed="false">
      <c r="A265" s="0" t="n">
        <f aca="false">'Исходные данные'!A265</f>
        <v>0.0275697</v>
      </c>
      <c r="B265" s="0" t="n">
        <f aca="false">'Исходные данные'!B265</f>
        <v>136.152</v>
      </c>
      <c r="H265" s="0" t="n">
        <f aca="false">H264+6*$E$347/349</f>
        <v>0.955480652061461</v>
      </c>
      <c r="I265" s="0" t="n">
        <f aca="false">_xlfn.NORM.DIST(H265,$E$346,$E$347,0)</f>
        <v>0.434404085873237</v>
      </c>
      <c r="J265" s="0" t="n">
        <f aca="false">_xlfn.NORM.DIST(H265,$E$346,$E$347,1)</f>
        <v>0.935931536957212</v>
      </c>
    </row>
    <row r="266" customFormat="false" ht="12.8" hidden="false" customHeight="false" outlineLevel="0" collapsed="false">
      <c r="A266" s="0" t="n">
        <f aca="false">'Исходные данные'!A266</f>
        <v>0.373291</v>
      </c>
      <c r="B266" s="0" t="n">
        <f aca="false">'Исходные данные'!B266</f>
        <v>136.525</v>
      </c>
      <c r="H266" s="0" t="n">
        <f aca="false">H265+6*$E$347/349</f>
        <v>0.960442699923656</v>
      </c>
      <c r="I266" s="0" t="n">
        <f aca="false">_xlfn.NORM.DIST(H266,$E$346,$E$347,0)</f>
        <v>0.423125985013189</v>
      </c>
      <c r="J266" s="0" t="n">
        <f aca="false">_xlfn.NORM.DIST(H266,$E$346,$E$347,1)</f>
        <v>0.938059019310268</v>
      </c>
    </row>
    <row r="267" customFormat="false" ht="12.8" hidden="false" customHeight="false" outlineLevel="0" collapsed="false">
      <c r="A267" s="0" t="n">
        <f aca="false">'Исходные данные'!A267</f>
        <v>0.350897</v>
      </c>
      <c r="B267" s="0" t="n">
        <f aca="false">'Исходные данные'!B267</f>
        <v>136.876</v>
      </c>
      <c r="H267" s="0" t="n">
        <f aca="false">H266+6*$E$347/349</f>
        <v>0.965404747785852</v>
      </c>
      <c r="I267" s="0" t="n">
        <f aca="false">_xlfn.NORM.DIST(H267,$E$346,$E$347,0)</f>
        <v>0.412018892873698</v>
      </c>
      <c r="J267" s="0" t="n">
        <f aca="false">_xlfn.NORM.DIST(H267,$E$346,$E$347,1)</f>
        <v>0.940130962598525</v>
      </c>
    </row>
    <row r="268" customFormat="false" ht="12.8" hidden="false" customHeight="false" outlineLevel="0" collapsed="false">
      <c r="A268" s="0" t="n">
        <f aca="false">'Исходные данные'!A268</f>
        <v>0.983277</v>
      </c>
      <c r="B268" s="0" t="n">
        <f aca="false">'Исходные данные'!B268</f>
        <v>137.859</v>
      </c>
      <c r="H268" s="0" t="n">
        <f aca="false">H267+6*$E$347/349</f>
        <v>0.970366795648048</v>
      </c>
      <c r="I268" s="0" t="n">
        <f aca="false">_xlfn.NORM.DIST(H268,$E$346,$E$347,0)</f>
        <v>0.401084799043792</v>
      </c>
      <c r="J268" s="0" t="n">
        <f aca="false">_xlfn.NORM.DIST(H268,$E$346,$E$347,1)</f>
        <v>0.942148220396609</v>
      </c>
    </row>
    <row r="269" customFormat="false" ht="12.8" hidden="false" customHeight="false" outlineLevel="0" collapsed="false">
      <c r="A269" s="0" t="n">
        <f aca="false">'Исходные данные'!A269</f>
        <v>0.950717</v>
      </c>
      <c r="B269" s="0" t="n">
        <f aca="false">'Исходные данные'!B269</f>
        <v>138.81</v>
      </c>
      <c r="H269" s="0" t="n">
        <f aca="false">H268+6*$E$347/349</f>
        <v>0.975328843510243</v>
      </c>
      <c r="I269" s="0" t="n">
        <f aca="false">_xlfn.NORM.DIST(H269,$E$346,$E$347,0)</f>
        <v>0.390325489266249</v>
      </c>
      <c r="J269" s="0" t="n">
        <f aca="false">_xlfn.NORM.DIST(H269,$E$346,$E$347,1)</f>
        <v>0.944111655644501</v>
      </c>
    </row>
    <row r="270" customFormat="false" ht="12.8" hidden="false" customHeight="false" outlineLevel="0" collapsed="false">
      <c r="A270" s="0" t="n">
        <f aca="false">'Исходные данные'!A270</f>
        <v>0.12681</v>
      </c>
      <c r="B270" s="0" t="n">
        <f aca="false">'Исходные данные'!B270</f>
        <v>138.937</v>
      </c>
      <c r="H270" s="0" t="n">
        <f aca="false">H269+6*$E$347/349</f>
        <v>0.980290891372439</v>
      </c>
      <c r="I270" s="0" t="n">
        <f aca="false">_xlfn.NORM.DIST(H270,$E$346,$E$347,0)</f>
        <v>0.379742548764096</v>
      </c>
      <c r="J270" s="0" t="n">
        <f aca="false">_xlfn.NORM.DIST(H270,$E$346,$E$347,1)</f>
        <v>0.946022139644214</v>
      </c>
    </row>
    <row r="271" customFormat="false" ht="12.8" hidden="false" customHeight="false" outlineLevel="0" collapsed="false">
      <c r="A271" s="0" t="n">
        <f aca="false">'Исходные данные'!A271</f>
        <v>0.438711</v>
      </c>
      <c r="B271" s="0" t="n">
        <f aca="false">'Исходные данные'!B271</f>
        <v>139.375</v>
      </c>
      <c r="H271" s="0" t="n">
        <f aca="false">H270+6*$E$347/349</f>
        <v>0.985252939234635</v>
      </c>
      <c r="I271" s="0" t="n">
        <f aca="false">_xlfn.NORM.DIST(H271,$E$346,$E$347,0)</f>
        <v>0.36933736577066</v>
      </c>
      <c r="J271" s="0" t="n">
        <f aca="false">_xlfn.NORM.DIST(H271,$E$346,$E$347,1)</f>
        <v>0.947880551073473</v>
      </c>
    </row>
    <row r="272" customFormat="false" ht="12.8" hidden="false" customHeight="false" outlineLevel="0" collapsed="false">
      <c r="A272" s="0" t="n">
        <f aca="false">'Исходные данные'!A272</f>
        <v>0.0103003</v>
      </c>
      <c r="B272" s="0" t="n">
        <f aca="false">'Исходные данные'!B272</f>
        <v>139.386</v>
      </c>
      <c r="H272" s="0" t="n">
        <f aca="false">H271+6*$E$347/349</f>
        <v>0.99021498709683</v>
      </c>
      <c r="I272" s="0" t="n">
        <f aca="false">_xlfn.NORM.DIST(H272,$E$346,$E$347,0)</f>
        <v>0.359111135251508</v>
      </c>
      <c r="J272" s="0" t="n">
        <f aca="false">_xlfn.NORM.DIST(H272,$E$346,$E$347,1)</f>
        <v>0.949687775017406</v>
      </c>
    </row>
    <row r="273" customFormat="false" ht="12.8" hidden="false" customHeight="false" outlineLevel="0" collapsed="false">
      <c r="A273" s="0" t="n">
        <f aca="false">'Исходные данные'!A273</f>
        <v>0.119403</v>
      </c>
      <c r="B273" s="0" t="n">
        <f aca="false">'Исходные данные'!B273</f>
        <v>139.505</v>
      </c>
      <c r="H273" s="0" t="n">
        <f aca="false">H272+6*$E$347/349</f>
        <v>0.995177034959026</v>
      </c>
      <c r="I273" s="0" t="n">
        <f aca="false">_xlfn.NORM.DIST(H273,$E$346,$E$347,0)</f>
        <v>0.349064862806593</v>
      </c>
      <c r="J273" s="0" t="n">
        <f aca="false">_xlfn.NORM.DIST(H273,$E$346,$E$347,1)</f>
        <v>0.951444702019147</v>
      </c>
    </row>
    <row r="274" customFormat="false" ht="12.8" hidden="false" customHeight="false" outlineLevel="0" collapsed="false">
      <c r="A274" s="0" t="n">
        <f aca="false">'Исходные данные'!A274</f>
        <v>0.459958</v>
      </c>
      <c r="B274" s="0" t="n">
        <f aca="false">'Исходные данные'!B274</f>
        <v>139.965</v>
      </c>
      <c r="H274" s="0" t="n">
        <f aca="false">H273+6*$E$347/349</f>
        <v>1.00013908282122</v>
      </c>
      <c r="I274" s="0" t="n">
        <f aca="false">_xlfn.NORM.DIST(H274,$E$346,$E$347,0)</f>
        <v>0.339199368740818</v>
      </c>
      <c r="J274" s="0" t="n">
        <f aca="false">_xlfn.NORM.DIST(H274,$E$346,$E$347,1)</f>
        <v>0.953152227150227</v>
      </c>
    </row>
    <row r="275" customFormat="false" ht="12.8" hidden="false" customHeight="false" outlineLevel="0" collapsed="false">
      <c r="A275" s="0" t="n">
        <f aca="false">'Исходные данные'!A275</f>
        <v>0.66878</v>
      </c>
      <c r="B275" s="0" t="n">
        <f aca="false">'Исходные данные'!B275</f>
        <v>140.634</v>
      </c>
      <c r="H275" s="0" t="n">
        <f aca="false">H274+6*$E$347/349</f>
        <v>1.00510113068342</v>
      </c>
      <c r="I275" s="0" t="n">
        <f aca="false">_xlfn.NORM.DIST(H275,$E$346,$E$347,0)</f>
        <v>0.329515292291269</v>
      </c>
      <c r="J275" s="0" t="n">
        <f aca="false">_xlfn.NORM.DIST(H275,$E$346,$E$347,1)</f>
        <v>0.954811249101558</v>
      </c>
    </row>
    <row r="276" customFormat="false" ht="12.8" hidden="false" customHeight="false" outlineLevel="0" collapsed="false">
      <c r="A276" s="0" t="n">
        <f aca="false">'Исходные данные'!A276</f>
        <v>0.413887</v>
      </c>
      <c r="B276" s="0" t="n">
        <f aca="false">'Исходные данные'!B276</f>
        <v>141.048</v>
      </c>
      <c r="H276" s="0" t="n">
        <f aca="false">H275+6*$E$347/349</f>
        <v>1.01006317854561</v>
      </c>
      <c r="I276" s="0" t="n">
        <f aca="false">_xlfn.NORM.DIST(H276,$E$346,$E$347,0)</f>
        <v>0.320013095999322</v>
      </c>
      <c r="J276" s="0" t="n">
        <f aca="false">_xlfn.NORM.DIST(H276,$E$346,$E$347,1)</f>
        <v>0.956422669295753</v>
      </c>
    </row>
    <row r="277" customFormat="false" ht="12.8" hidden="false" customHeight="false" outlineLevel="0" collapsed="false">
      <c r="A277" s="0" t="n">
        <f aca="false">'Исходные данные'!A277</f>
        <v>0.790403</v>
      </c>
      <c r="B277" s="0" t="n">
        <f aca="false">'Исходные данные'!B277</f>
        <v>141.838</v>
      </c>
      <c r="H277" s="0" t="n">
        <f aca="false">H276+6*$E$347/349</f>
        <v>1.01502522640781</v>
      </c>
      <c r="I277" s="0" t="n">
        <f aca="false">_xlfn.NORM.DIST(H277,$E$346,$E$347,0)</f>
        <v>0.310693070215902</v>
      </c>
      <c r="J277" s="0" t="n">
        <f aca="false">_xlfn.NORM.DIST(H277,$E$346,$E$347,1)</f>
        <v>0.957987391021481</v>
      </c>
    </row>
    <row r="278" customFormat="false" ht="12.8" hidden="false" customHeight="false" outlineLevel="0" collapsed="false">
      <c r="A278" s="0" t="n">
        <f aca="false">'Исходные данные'!A278</f>
        <v>0.573332</v>
      </c>
      <c r="B278" s="0" t="n">
        <f aca="false">'Исходные данные'!B278</f>
        <v>142.411</v>
      </c>
      <c r="H278" s="0" t="n">
        <f aca="false">H277+6*$E$347/349</f>
        <v>1.01998727427</v>
      </c>
      <c r="I278" s="0" t="n">
        <f aca="false">_xlfn.NORM.DIST(H278,$E$346,$E$347,0)</f>
        <v>0.301555337728216</v>
      </c>
      <c r="J278" s="0" t="n">
        <f aca="false">_xlfn.NORM.DIST(H278,$E$346,$E$347,1)</f>
        <v>0.959506318590478</v>
      </c>
    </row>
    <row r="279" customFormat="false" ht="12.8" hidden="false" customHeight="false" outlineLevel="0" collapsed="false">
      <c r="A279" s="0" t="n">
        <f aca="false">'Исходные данные'!A279</f>
        <v>0.0579614</v>
      </c>
      <c r="B279" s="0" t="n">
        <f aca="false">'Исходные данные'!B279</f>
        <v>142.469</v>
      </c>
      <c r="H279" s="0" t="n">
        <f aca="false">H278+6*$E$347/349</f>
        <v>1.0249493221322</v>
      </c>
      <c r="I279" s="0" t="n">
        <f aca="false">_xlfn.NORM.DIST(H279,$E$346,$E$347,0)</f>
        <v>0.292599858496379</v>
      </c>
      <c r="J279" s="0" t="n">
        <f aca="false">_xlfn.NORM.DIST(H279,$E$346,$E$347,1)</f>
        <v>0.960980356517801</v>
      </c>
    </row>
    <row r="280" customFormat="false" ht="12.8" hidden="false" customHeight="false" outlineLevel="0" collapsed="false">
      <c r="A280" s="0" t="n">
        <f aca="false">'Исходные данные'!A280</f>
        <v>0.434583</v>
      </c>
      <c r="B280" s="0" t="n">
        <f aca="false">'Исходные данные'!B280</f>
        <v>142.904</v>
      </c>
      <c r="H280" s="0" t="n">
        <f aca="false">H279+6*$E$347/349</f>
        <v>1.0299113699944</v>
      </c>
      <c r="I280" s="0" t="n">
        <f aca="false">_xlfn.NORM.DIST(H280,$E$346,$E$347,0)</f>
        <v>0.28382643448845</v>
      </c>
      <c r="J280" s="0" t="n">
        <f aca="false">_xlfn.NORM.DIST(H280,$E$346,$E$347,1)</f>
        <v>0.962410408725824</v>
      </c>
    </row>
    <row r="281" customFormat="false" ht="12.8" hidden="false" customHeight="false" outlineLevel="0" collapsed="false">
      <c r="A281" s="0" t="n">
        <f aca="false">'Исходные данные'!A281</f>
        <v>0.524089</v>
      </c>
      <c r="B281" s="0" t="n">
        <f aca="false">'Исходные данные'!B281</f>
        <v>143.428</v>
      </c>
      <c r="H281" s="0" t="n">
        <f aca="false">H280+6*$E$347/349</f>
        <v>1.03487341785659</v>
      </c>
      <c r="I281" s="0" t="n">
        <f aca="false">_xlfn.NORM.DIST(H281,$E$346,$E$347,0)</f>
        <v>0.275234714602545</v>
      </c>
      <c r="J281" s="0" t="n">
        <f aca="false">_xlfn.NORM.DIST(H281,$E$346,$E$347,1)</f>
        <v>0.963797377772458</v>
      </c>
    </row>
    <row r="282" customFormat="false" ht="12.8" hidden="false" customHeight="false" outlineLevel="0" collapsed="false">
      <c r="A282" s="0" t="n">
        <f aca="false">'Исходные данные'!A282</f>
        <v>0.791665</v>
      </c>
      <c r="B282" s="0" t="n">
        <f aca="false">'Исходные данные'!B282</f>
        <v>144.22</v>
      </c>
      <c r="H282" s="0" t="n">
        <f aca="false">H281+6*$E$347/349</f>
        <v>1.03983546571879</v>
      </c>
      <c r="I282" s="0" t="n">
        <f aca="false">_xlfn.NORM.DIST(H282,$E$346,$E$347,0)</f>
        <v>0.26682419966485</v>
      </c>
      <c r="J282" s="0" t="n">
        <f aca="false">_xlfn.NORM.DIST(H282,$E$346,$E$347,1)</f>
        <v>0.965142164103976</v>
      </c>
    </row>
    <row r="283" customFormat="false" ht="12.8" hidden="false" customHeight="false" outlineLevel="0" collapsed="false">
      <c r="A283" s="0" t="n">
        <f aca="false">'Исходные данные'!A283</f>
        <v>0.134203</v>
      </c>
      <c r="B283" s="0" t="n">
        <f aca="false">'Исходные данные'!B283</f>
        <v>144.354</v>
      </c>
      <c r="H283" s="0" t="n">
        <f aca="false">H282+6*$E$347/349</f>
        <v>1.04479751358098</v>
      </c>
      <c r="I283" s="0" t="n">
        <f aca="false">_xlfn.NORM.DIST(H283,$E$346,$E$347,0)</f>
        <v>0.258594247492518</v>
      </c>
      <c r="J283" s="0" t="n">
        <f aca="false">_xlfn.NORM.DIST(H283,$E$346,$E$347,1)</f>
        <v>0.966445665332813</v>
      </c>
    </row>
    <row r="284" customFormat="false" ht="12.8" hidden="false" customHeight="false" outlineLevel="0" collapsed="false">
      <c r="A284" s="0" t="n">
        <f aca="false">'Исходные данные'!A284</f>
        <v>0.629964</v>
      </c>
      <c r="B284" s="0" t="n">
        <f aca="false">'Исходные данные'!B284</f>
        <v>144.984</v>
      </c>
      <c r="H284" s="0" t="n">
        <f aca="false">H283+6*$E$347/349</f>
        <v>1.04975956144318</v>
      </c>
      <c r="I284" s="0" t="n">
        <f aca="false">_xlfn.NORM.DIST(H284,$E$346,$E$347,0)</f>
        <v>0.250544078010663</v>
      </c>
      <c r="J284" s="0" t="n">
        <f aca="false">_xlfn.NORM.DIST(H284,$E$346,$E$347,1)</f>
        <v>0.967708775540625</v>
      </c>
    </row>
    <row r="285" customFormat="false" ht="12.8" hidden="false" customHeight="false" outlineLevel="0" collapsed="false">
      <c r="A285" s="0" t="n">
        <f aca="false">'Исходные данные'!A285</f>
        <v>0.911861</v>
      </c>
      <c r="B285" s="0" t="n">
        <f aca="false">'Исходные данные'!B285</f>
        <v>145.896</v>
      </c>
      <c r="H285" s="0" t="n">
        <f aca="false">H284+6*$E$347/349</f>
        <v>1.05472160930537</v>
      </c>
      <c r="I285" s="0" t="n">
        <f aca="false">_xlfn.NORM.DIST(H285,$E$346,$E$347,0)</f>
        <v>0.242672778412853</v>
      </c>
      <c r="J285" s="0" t="n">
        <f aca="false">_xlfn.NORM.DIST(H285,$E$346,$E$347,1)</f>
        <v>0.968932384606844</v>
      </c>
    </row>
    <row r="286" customFormat="false" ht="12.8" hidden="false" customHeight="false" outlineLevel="0" collapsed="false">
      <c r="A286" s="0" t="n">
        <f aca="false">'Исходные данные'!A286</f>
        <v>0.754413</v>
      </c>
      <c r="B286" s="0" t="n">
        <f aca="false">'Исходные данные'!B286</f>
        <v>146.65</v>
      </c>
      <c r="H286" s="0" t="n">
        <f aca="false">H285+6*$E$347/349</f>
        <v>1.05968365716757</v>
      </c>
      <c r="I286" s="0" t="n">
        <f aca="false">_xlfn.NORM.DIST(H286,$E$346,$E$347,0)</f>
        <v>0.234979308354759</v>
      </c>
      <c r="J286" s="0" t="n">
        <f aca="false">_xlfn.NORM.DIST(H286,$E$346,$E$347,1)</f>
        <v>0.970117377562938</v>
      </c>
    </row>
    <row r="287" customFormat="false" ht="12.8" hidden="false" customHeight="false" outlineLevel="0" collapsed="false">
      <c r="A287" s="0" t="n">
        <f aca="false">'Исходные данные'!A287</f>
        <v>0.0131317</v>
      </c>
      <c r="B287" s="0" t="n">
        <f aca="false">'Исходные данные'!B287</f>
        <v>146.663</v>
      </c>
      <c r="H287" s="0" t="n">
        <f aca="false">H286+6*$E$347/349</f>
        <v>1.06464570502977</v>
      </c>
      <c r="I287" s="0" t="n">
        <f aca="false">_xlfn.NORM.DIST(H287,$E$346,$E$347,0)</f>
        <v>0.22746250517087</v>
      </c>
      <c r="J287" s="0" t="n">
        <f aca="false">_xlfn.NORM.DIST(H287,$E$346,$E$347,1)</f>
        <v>0.971264633972492</v>
      </c>
    </row>
    <row r="288" customFormat="false" ht="12.8" hidden="false" customHeight="false" outlineLevel="0" collapsed="false">
      <c r="A288" s="0" t="n">
        <f aca="false">'Исходные данные'!A288</f>
        <v>0.814377</v>
      </c>
      <c r="B288" s="0" t="n">
        <f aca="false">'Исходные данные'!B288</f>
        <v>147.478</v>
      </c>
      <c r="H288" s="0" t="n">
        <f aca="false">H287+6*$E$347/349</f>
        <v>1.06960775289196</v>
      </c>
      <c r="I288" s="0" t="n">
        <f aca="false">_xlfn.NORM.DIST(H288,$E$346,$E$347,0)</f>
        <v>0.220121089104434</v>
      </c>
      <c r="J288" s="0" t="n">
        <f aca="false">_xlfn.NORM.DIST(H288,$E$346,$E$347,1)</f>
        <v>0.972375027337221</v>
      </c>
    </row>
    <row r="289" customFormat="false" ht="12.8" hidden="false" customHeight="false" outlineLevel="0" collapsed="false">
      <c r="A289" s="0" t="n">
        <f aca="false">'Исходные данные'!A289</f>
        <v>0.255391</v>
      </c>
      <c r="B289" s="0" t="n">
        <f aca="false">'Исходные данные'!B289</f>
        <v>147.733</v>
      </c>
      <c r="H289" s="0" t="n">
        <f aca="false">H288+6*$E$347/349</f>
        <v>1.07456980075416</v>
      </c>
      <c r="I289" s="0" t="n">
        <f aca="false">_xlfn.NORM.DIST(H289,$E$346,$E$347,0)</f>
        <v>0.212953668541097</v>
      </c>
      <c r="J289" s="0" t="n">
        <f aca="false">_xlfn.NORM.DIST(H289,$E$346,$E$347,1)</f>
        <v>0.973449424528939</v>
      </c>
    </row>
    <row r="290" customFormat="false" ht="12.8" hidden="false" customHeight="false" outlineLevel="0" collapsed="false">
      <c r="A290" s="0" t="n">
        <f aca="false">'Исходные данные'!A290</f>
        <v>0.833922</v>
      </c>
      <c r="B290" s="0" t="n">
        <f aca="false">'Исходные данные'!B290</f>
        <v>148.567</v>
      </c>
      <c r="H290" s="0" t="n">
        <f aca="false">H289+6*$E$347/349</f>
        <v>1.07953184861635</v>
      </c>
      <c r="I290" s="0" t="n">
        <f aca="false">_xlfn.NORM.DIST(H290,$E$346,$E$347,0)</f>
        <v>0.20595874523698</v>
      </c>
      <c r="J290" s="0" t="n">
        <f aca="false">_xlfn.NORM.DIST(H290,$E$346,$E$347,1)</f>
        <v>0.974488685247493</v>
      </c>
    </row>
    <row r="291" customFormat="false" ht="12.8" hidden="false" customHeight="false" outlineLevel="0" collapsed="false">
      <c r="A291" s="0" t="n">
        <f aca="false">'Исходные данные'!A291</f>
        <v>0.986291</v>
      </c>
      <c r="B291" s="0" t="n">
        <f aca="false">'Исходные данные'!B291</f>
        <v>149.553</v>
      </c>
      <c r="H291" s="0" t="n">
        <f aca="false">H290+6*$E$347/349</f>
        <v>1.08449389647855</v>
      </c>
      <c r="I291" s="0" t="n">
        <f aca="false">_xlfn.NORM.DIST(H291,$E$346,$E$347,0)</f>
        <v>0.199134719532261</v>
      </c>
      <c r="J291" s="0" t="n">
        <f aca="false">_xlfn.NORM.DIST(H291,$E$346,$E$347,1)</f>
        <v>0.975493661504607</v>
      </c>
    </row>
    <row r="292" customFormat="false" ht="12.8" hidden="false" customHeight="false" outlineLevel="0" collapsed="false">
      <c r="A292" s="0" t="n">
        <f aca="false">'Исходные данные'!A292</f>
        <v>0.592135</v>
      </c>
      <c r="B292" s="0" t="n">
        <f aca="false">'Исходные данные'!B292</f>
        <v>150.145</v>
      </c>
      <c r="H292" s="0" t="n">
        <f aca="false">H291+6*$E$347/349</f>
        <v>1.08945594434074</v>
      </c>
      <c r="I292" s="0" t="n">
        <f aca="false">_xlfn.NORM.DIST(H292,$E$346,$E$347,0)</f>
        <v>0.192479895541648</v>
      </c>
      <c r="J292" s="0" t="n">
        <f aca="false">_xlfn.NORM.DIST(H292,$E$346,$E$347,1)</f>
        <v>0.976465197133536</v>
      </c>
    </row>
    <row r="293" customFormat="false" ht="12.8" hidden="false" customHeight="false" outlineLevel="0" collapsed="false">
      <c r="A293" s="0" t="n">
        <f aca="false">'Исходные данные'!A293</f>
        <v>0.688411</v>
      </c>
      <c r="B293" s="0" t="n">
        <f aca="false">'Исходные данные'!B293</f>
        <v>150.834</v>
      </c>
      <c r="H293" s="0" t="n">
        <f aca="false">H292+6*$E$347/349</f>
        <v>1.09441799220294</v>
      </c>
      <c r="I293" s="0" t="n">
        <f aca="false">_xlfn.NORM.DIST(H293,$E$346,$E$347,0)</f>
        <v>0.185992486313435</v>
      </c>
      <c r="J293" s="0" t="n">
        <f aca="false">_xlfn.NORM.DIST(H293,$E$346,$E$347,1)</f>
        <v>0.97740412732441</v>
      </c>
    </row>
    <row r="294" customFormat="false" ht="12.8" hidden="false" customHeight="false" outlineLevel="0" collapsed="false">
      <c r="A294" s="0" t="n">
        <f aca="false">'Исходные данные'!A294</f>
        <v>0.889101</v>
      </c>
      <c r="B294" s="0" t="n">
        <f aca="false">'Исходные данные'!B294</f>
        <v>151.723</v>
      </c>
      <c r="H294" s="0" t="n">
        <f aca="false">H293+6*$E$347/349</f>
        <v>1.09938004006514</v>
      </c>
      <c r="I294" s="0" t="n">
        <f aca="false">_xlfn.NORM.DIST(H294,$E$346,$E$347,0)</f>
        <v>0.179670618949214</v>
      </c>
      <c r="J294" s="0" t="n">
        <f aca="false">_xlfn.NORM.DIST(H294,$E$346,$E$347,1)</f>
        <v>0.978311278185071</v>
      </c>
    </row>
    <row r="295" customFormat="false" ht="12.8" hidden="false" customHeight="false" outlineLevel="0" collapsed="false">
      <c r="A295" s="0" t="n">
        <f aca="false">'Исходные данные'!A295</f>
        <v>0.101795</v>
      </c>
      <c r="B295" s="0" t="n">
        <f aca="false">'Исходные данные'!B295</f>
        <v>151.825</v>
      </c>
      <c r="H295" s="0" t="n">
        <f aca="false">H294+6*$E$347/349</f>
        <v>1.10434208792733</v>
      </c>
      <c r="I295" s="0" t="n">
        <f aca="false">_xlfn.NORM.DIST(H295,$E$346,$E$347,0)</f>
        <v>0.173512339676602</v>
      </c>
      <c r="J295" s="0" t="n">
        <f aca="false">_xlfn.NORM.DIST(H295,$E$346,$E$347,1)</f>
        <v>0.979187466327217</v>
      </c>
    </row>
    <row r="296" customFormat="false" ht="12.8" hidden="false" customHeight="false" outlineLevel="0" collapsed="false">
      <c r="A296" s="0" t="n">
        <f aca="false">'Исходные данные'!A296</f>
        <v>0.330915</v>
      </c>
      <c r="B296" s="0" t="n">
        <f aca="false">'Исходные данные'!B296</f>
        <v>152.156</v>
      </c>
      <c r="H296" s="0" t="n">
        <f aca="false">H295+6*$E$347/349</f>
        <v>1.10930413578953</v>
      </c>
      <c r="I296" s="0" t="n">
        <f aca="false">_xlfn.NORM.DIST(H296,$E$346,$E$347,0)</f>
        <v>0.167515618867761</v>
      </c>
      <c r="J296" s="0" t="n">
        <f aca="false">_xlfn.NORM.DIST(H296,$E$346,$E$347,1)</f>
        <v>0.98003349847757</v>
      </c>
    </row>
    <row r="297" customFormat="false" ht="12.8" hidden="false" customHeight="false" outlineLevel="0" collapsed="false">
      <c r="A297" s="0" t="n">
        <f aca="false">'Исходные данные'!A297</f>
        <v>0.409585</v>
      </c>
      <c r="B297" s="0" t="n">
        <f aca="false">'Исходные данные'!B297</f>
        <v>152.565</v>
      </c>
      <c r="H297" s="0" t="n">
        <f aca="false">H296+6*$E$347/349</f>
        <v>1.11426618365172</v>
      </c>
      <c r="I297" s="0" t="n">
        <f aca="false">_xlfn.NORM.DIST(H297,$E$346,$E$347,0)</f>
        <v>0.161678355996774</v>
      </c>
      <c r="J297" s="0" t="n">
        <f aca="false">_xlfn.NORM.DIST(H297,$E$346,$E$347,1)</f>
        <v>0.980850171113804</v>
      </c>
    </row>
    <row r="298" customFormat="false" ht="12.8" hidden="false" customHeight="false" outlineLevel="0" collapsed="false">
      <c r="A298" s="0" t="n">
        <f aca="false">'Исходные данные'!A298</f>
        <v>0.603978</v>
      </c>
      <c r="B298" s="0" t="n">
        <f aca="false">'Исходные данные'!B298</f>
        <v>153.169</v>
      </c>
      <c r="H298" s="0" t="n">
        <f aca="false">H297+6*$E$347/349</f>
        <v>1.11922823151392</v>
      </c>
      <c r="I298" s="0" t="n">
        <f aca="false">_xlfn.NORM.DIST(H298,$E$346,$E$347,0)</f>
        <v>0.155998384529362</v>
      </c>
      <c r="J298" s="0" t="n">
        <f aca="false">_xlfn.NORM.DIST(H298,$E$346,$E$347,1)</f>
        <v>0.981638270124908</v>
      </c>
    </row>
    <row r="299" customFormat="false" ht="12.8" hidden="false" customHeight="false" outlineLevel="0" collapsed="false">
      <c r="A299" s="0" t="n">
        <f aca="false">'Исходные данные'!A299</f>
        <v>0.441106</v>
      </c>
      <c r="B299" s="0" t="n">
        <f aca="false">'Исходные данные'!B299</f>
        <v>153.61</v>
      </c>
      <c r="H299" s="0" t="n">
        <f aca="false">H298+6*$E$347/349</f>
        <v>1.12419027937611</v>
      </c>
      <c r="I299" s="0" t="n">
        <f aca="false">_xlfn.NORM.DIST(H299,$E$346,$E$347,0)</f>
        <v>0.150473476738749</v>
      </c>
      <c r="J299" s="0" t="n">
        <f aca="false">_xlfn.NORM.DIST(H299,$E$346,$E$347,1)</f>
        <v>0.982398570495631</v>
      </c>
    </row>
    <row r="300" customFormat="false" ht="12.8" hidden="false" customHeight="false" outlineLevel="0" collapsed="false">
      <c r="A300" s="0" t="n">
        <f aca="false">'Исходные данные'!A300</f>
        <v>0.753558</v>
      </c>
      <c r="B300" s="0" t="n">
        <f aca="false">'Исходные данные'!B300</f>
        <v>154.364</v>
      </c>
      <c r="H300" s="0" t="n">
        <f aca="false">H299+6*$E$347/349</f>
        <v>1.12915232723831</v>
      </c>
      <c r="I300" s="0" t="n">
        <f aca="false">_xlfn.NORM.DIST(H300,$E$346,$E$347,0)</f>
        <v>0.14510134844186</v>
      </c>
      <c r="J300" s="0" t="n">
        <f aca="false">_xlfn.NORM.DIST(H300,$E$346,$E$347,1)</f>
        <v>0.983131836014621</v>
      </c>
    </row>
    <row r="301" customFormat="false" ht="12.8" hidden="false" customHeight="false" outlineLevel="0" collapsed="false">
      <c r="A301" s="0" t="n">
        <f aca="false">'Исходные данные'!A301</f>
        <v>0.13349</v>
      </c>
      <c r="B301" s="0" t="n">
        <f aca="false">'Исходные данные'!B301</f>
        <v>154.497</v>
      </c>
      <c r="H301" s="0" t="n">
        <f aca="false">H300+6*$E$347/349</f>
        <v>1.1341143751005</v>
      </c>
      <c r="I301" s="0" t="n">
        <f aca="false">_xlfn.NORM.DIST(H301,$E$346,$E$347,0)</f>
        <v>0.139879663650408</v>
      </c>
      <c r="J301" s="0" t="n">
        <f aca="false">_xlfn.NORM.DIST(H301,$E$346,$E$347,1)</f>
        <v>0.983838819005868</v>
      </c>
    </row>
    <row r="302" customFormat="false" ht="12.8" hidden="false" customHeight="false" outlineLevel="0" collapsed="false">
      <c r="A302" s="0" t="n">
        <f aca="false">'Исходные данные'!A302</f>
        <v>0.0460127</v>
      </c>
      <c r="B302" s="0" t="n">
        <f aca="false">'Исходные данные'!B302</f>
        <v>154.543</v>
      </c>
      <c r="H302" s="0" t="n">
        <f aca="false">H301+6*$E$347/349</f>
        <v>1.1390764229627</v>
      </c>
      <c r="I302" s="0" t="n">
        <f aca="false">_xlfn.NORM.DIST(H302,$E$346,$E$347,0)</f>
        <v>0.134806039131784</v>
      </c>
      <c r="J302" s="0" t="n">
        <f aca="false">_xlfn.NORM.DIST(H302,$E$346,$E$347,1)</f>
        <v>0.984520260082995</v>
      </c>
    </row>
    <row r="303" customFormat="false" ht="12.8" hidden="false" customHeight="false" outlineLevel="0" collapsed="false">
      <c r="A303" s="0" t="n">
        <f aca="false">'Исходные данные'!A303</f>
        <v>0.128072</v>
      </c>
      <c r="B303" s="0" t="n">
        <f aca="false">'Исходные данные'!B303</f>
        <v>154.671</v>
      </c>
      <c r="H303" s="0" t="n">
        <f aca="false">H302+6*$E$347/349</f>
        <v>1.1440384708249</v>
      </c>
      <c r="I303" s="0" t="n">
        <f aca="false">_xlfn.NORM.DIST(H303,$E$346,$E$347,0)</f>
        <v>0.12987804887502</v>
      </c>
      <c r="J303" s="0" t="n">
        <f aca="false">_xlfn.NORM.DIST(H303,$E$346,$E$347,1)</f>
        <v>0.985176887925948</v>
      </c>
    </row>
    <row r="304" customFormat="false" ht="12.8" hidden="false" customHeight="false" outlineLevel="0" collapsed="false">
      <c r="A304" s="0" t="n">
        <f aca="false">'Исходные данные'!A304</f>
        <v>0.955868</v>
      </c>
      <c r="B304" s="0" t="n">
        <f aca="false">'Исходные данные'!B304</f>
        <v>155.627</v>
      </c>
      <c r="H304" s="0" t="n">
        <f aca="false">H303+6*$E$347/349</f>
        <v>1.14900051868709</v>
      </c>
      <c r="I304" s="0" t="n">
        <f aca="false">_xlfn.NORM.DIST(H304,$E$346,$E$347,0)</f>
        <v>0.125093228457484</v>
      </c>
      <c r="J304" s="0" t="n">
        <f aca="false">_xlfn.NORM.DIST(H304,$E$346,$E$347,1)</f>
        <v>0.985809419079608</v>
      </c>
    </row>
    <row r="305" customFormat="false" ht="12.8" hidden="false" customHeight="false" outlineLevel="0" collapsed="false">
      <c r="A305" s="0" t="n">
        <f aca="false">'Исходные данные'!A305</f>
        <v>0.651131</v>
      </c>
      <c r="B305" s="0" t="n">
        <f aca="false">'Исходные данные'!B305</f>
        <v>156.278</v>
      </c>
      <c r="H305" s="0" t="n">
        <f aca="false">H304+6*$E$347/349</f>
        <v>1.15396256654929</v>
      </c>
      <c r="I305" s="0" t="n">
        <f aca="false">_xlfn.NORM.DIST(H305,$E$346,$E$347,0)</f>
        <v>0.12044907930829</v>
      </c>
      <c r="J305" s="0" t="n">
        <f aca="false">_xlfn.NORM.DIST(H305,$E$346,$E$347,1)</f>
        <v>0.986418557773808</v>
      </c>
    </row>
    <row r="306" customFormat="false" ht="12.8" hidden="false" customHeight="false" outlineLevel="0" collapsed="false">
      <c r="A306" s="0" t="n">
        <f aca="false">'Исходные данные'!A306</f>
        <v>0.813857</v>
      </c>
      <c r="B306" s="0" t="n">
        <f aca="false">'Исходные данные'!B306</f>
        <v>157.092</v>
      </c>
      <c r="H306" s="0" t="n">
        <f aca="false">H305+6*$E$347/349</f>
        <v>1.15892461441148</v>
      </c>
      <c r="I306" s="0" t="n">
        <f aca="false">_xlfn.NORM.DIST(H306,$E$346,$E$347,0)</f>
        <v>0.115943072864789</v>
      </c>
      <c r="J306" s="0" t="n">
        <f aca="false">_xlfn.NORM.DIST(H306,$E$346,$E$347,1)</f>
        <v>0.987004995764247</v>
      </c>
    </row>
    <row r="307" customFormat="false" ht="12.8" hidden="false" customHeight="false" outlineLevel="0" collapsed="false">
      <c r="A307" s="0" t="n">
        <f aca="false">'Исходные данные'!A307</f>
        <v>0.851415</v>
      </c>
      <c r="B307" s="0" t="n">
        <f aca="false">'Исходные данные'!B307</f>
        <v>157.944</v>
      </c>
      <c r="H307" s="0" t="n">
        <f aca="false">H306+6*$E$347/349</f>
        <v>1.16388666227368</v>
      </c>
      <c r="I307" s="0" t="n">
        <f aca="false">_xlfn.NORM.DIST(H307,$E$346,$E$347,0)</f>
        <v>0.111572654618842</v>
      </c>
      <c r="J307" s="0" t="n">
        <f aca="false">_xlfn.NORM.DIST(H307,$E$346,$E$347,1)</f>
        <v>0.987569412193753</v>
      </c>
    </row>
    <row r="308" customFormat="false" ht="12.8" hidden="false" customHeight="false" outlineLevel="0" collapsed="false">
      <c r="A308" s="0" t="n">
        <f aca="false">'Исходные данные'!A308</f>
        <v>0.0736501</v>
      </c>
      <c r="B308" s="0" t="n">
        <f aca="false">'Исходные данные'!B308</f>
        <v>158.017</v>
      </c>
      <c r="H308" s="0" t="n">
        <f aca="false">H307+6*$E$347/349</f>
        <v>1.16884871013587</v>
      </c>
      <c r="I308" s="0" t="n">
        <f aca="false">_xlfn.NORM.DIST(H308,$E$346,$E$347,0)</f>
        <v>0.107335248049933</v>
      </c>
      <c r="J308" s="0" t="n">
        <f aca="false">_xlfn.NORM.DIST(H308,$E$346,$E$347,1)</f>
        <v>0.988112473473347</v>
      </c>
    </row>
    <row r="309" customFormat="false" ht="12.8" hidden="false" customHeight="false" outlineLevel="0" collapsed="false">
      <c r="A309" s="0" t="n">
        <f aca="false">'Исходные данные'!A309</f>
        <v>0.86602</v>
      </c>
      <c r="B309" s="0" t="n">
        <f aca="false">'Исходные данные'!B309</f>
        <v>158.883</v>
      </c>
      <c r="H309" s="0" t="n">
        <f aca="false">H308+6*$E$347/349</f>
        <v>1.17381075799807</v>
      </c>
      <c r="I309" s="0" t="n">
        <f aca="false">_xlfn.NORM.DIST(H309,$E$346,$E$347,0)</f>
        <v>0.103228258442507</v>
      </c>
      <c r="J309" s="0" t="n">
        <f aca="false">_xlfn.NORM.DIST(H309,$E$346,$E$347,1)</f>
        <v>0.988634833182536</v>
      </c>
    </row>
    <row r="310" customFormat="false" ht="12.8" hidden="false" customHeight="false" outlineLevel="0" collapsed="false">
      <c r="A310" s="0" t="n">
        <f aca="false">'Исходные данные'!A310</f>
        <v>0.647415</v>
      </c>
      <c r="B310" s="0" t="n">
        <f aca="false">'Исходные данные'!B310</f>
        <v>159.531</v>
      </c>
      <c r="H310" s="0" t="n">
        <f aca="false">H309+6*$E$347/349</f>
        <v>1.17877280586027</v>
      </c>
      <c r="I310" s="0" t="n">
        <f aca="false">_xlfn.NORM.DIST(H310,$E$346,$E$347,0)</f>
        <v>0.0992490765852572</v>
      </c>
      <c r="J310" s="0" t="n">
        <f aca="false">_xlfn.NORM.DIST(H310,$E$346,$E$347,1)</f>
        <v>0.989137131988252</v>
      </c>
    </row>
    <row r="311" customFormat="false" ht="12.8" hidden="false" customHeight="false" outlineLevel="0" collapsed="false">
      <c r="A311" s="0" t="n">
        <f aca="false">'Исходные данные'!A311</f>
        <v>0.894116</v>
      </c>
      <c r="B311" s="0" t="n">
        <f aca="false">'Исходные данные'!B311</f>
        <v>160.425</v>
      </c>
      <c r="H311" s="0" t="n">
        <f aca="false">H310+6*$E$347/349</f>
        <v>1.18373485372246</v>
      </c>
      <c r="I311" s="0" t="n">
        <f aca="false">_xlfn.NORM.DIST(H311,$E$346,$E$347,0)</f>
        <v>0.0953950823504209</v>
      </c>
      <c r="J311" s="0" t="n">
        <f aca="false">_xlfn.NORM.DIST(H311,$E$346,$E$347,1)</f>
        <v>0.98961999758186</v>
      </c>
    </row>
    <row r="312" customFormat="false" ht="12.8" hidden="false" customHeight="false" outlineLevel="0" collapsed="false">
      <c r="A312" s="0" t="n">
        <f aca="false">'Исходные данные'!A312</f>
        <v>0.0905455</v>
      </c>
      <c r="B312" s="0" t="n">
        <f aca="false">'Исходные данные'!B312</f>
        <v>160.515</v>
      </c>
      <c r="H312" s="0" t="n">
        <f aca="false">H311+6*$E$347/349</f>
        <v>1.18869690158466</v>
      </c>
      <c r="I312" s="0" t="n">
        <f aca="false">_xlfn.NORM.DIST(H312,$E$346,$E$347,0)</f>
        <v>0.0916636481514382</v>
      </c>
      <c r="J312" s="0" t="n">
        <f aca="false">_xlfn.NORM.DIST(H312,$E$346,$E$347,1)</f>
        <v>0.990084044633615</v>
      </c>
    </row>
    <row r="313" customFormat="false" ht="12.8" hidden="false" customHeight="false" outlineLevel="0" collapsed="false">
      <c r="A313" s="0" t="n">
        <f aca="false">'Исходные данные'!A313</f>
        <v>0.48438</v>
      </c>
      <c r="B313" s="0" t="n">
        <f aca="false">'Исходные данные'!B313</f>
        <v>161</v>
      </c>
      <c r="H313" s="0" t="n">
        <f aca="false">H312+6*$E$347/349</f>
        <v>1.19365894944685</v>
      </c>
      <c r="I313" s="0" t="n">
        <f aca="false">_xlfn.NORM.DIST(H313,$E$346,$E$347,0)</f>
        <v>0.0880521422776596</v>
      </c>
      <c r="J313" s="0" t="n">
        <f aca="false">_xlfn.NORM.DIST(H313,$E$346,$E$347,1)</f>
        <v>0.990529874763975</v>
      </c>
    </row>
    <row r="314" customFormat="false" ht="12.8" hidden="false" customHeight="false" outlineLevel="0" collapsed="false">
      <c r="A314" s="0" t="n">
        <f aca="false">'Исходные данные'!A314</f>
        <v>0.522227</v>
      </c>
      <c r="B314" s="0" t="n">
        <f aca="false">'Исходные данные'!B314</f>
        <v>161.522</v>
      </c>
      <c r="H314" s="0" t="n">
        <f aca="false">H313+6*$E$347/349</f>
        <v>1.19862099730905</v>
      </c>
      <c r="I314" s="0" t="n">
        <f aca="false">_xlfn.NORM.DIST(H314,$E$346,$E$347,0)</f>
        <v>0.0845579321050778</v>
      </c>
      <c r="J314" s="0" t="n">
        <f aca="false">_xlfn.NORM.DIST(H314,$E$346,$E$347,1)</f>
        <v>0.990958076531157</v>
      </c>
    </row>
    <row r="315" customFormat="false" ht="12.8" hidden="false" customHeight="false" outlineLevel="0" collapsed="false">
      <c r="A315" s="0" t="n">
        <f aca="false">'Исходные данные'!A315</f>
        <v>0.765551</v>
      </c>
      <c r="B315" s="0" t="n">
        <f aca="false">'Исходные данные'!B315</f>
        <v>162.288</v>
      </c>
      <c r="H315" s="0" t="n">
        <f aca="false">H314+6*$E$347/349</f>
        <v>1.20358304517124</v>
      </c>
      <c r="I315" s="0" t="n">
        <f aca="false">_xlfn.NORM.DIST(H315,$E$346,$E$347,0)</f>
        <v>0.081178387182351</v>
      </c>
      <c r="J315" s="0" t="n">
        <f aca="false">_xlfn.NORM.DIST(H315,$E$346,$E$347,1)</f>
        <v>0.991369225434311</v>
      </c>
    </row>
    <row r="316" customFormat="false" ht="12.8" hidden="false" customHeight="false" outlineLevel="0" collapsed="false">
      <c r="A316" s="0" t="n">
        <f aca="false">'Исходные данные'!A316</f>
        <v>0.325331</v>
      </c>
      <c r="B316" s="0" t="n">
        <f aca="false">'Исходные данные'!B316</f>
        <v>162.613</v>
      </c>
      <c r="H316" s="0" t="n">
        <f aca="false">H315+6*$E$347/349</f>
        <v>1.20854509303344</v>
      </c>
      <c r="I316" s="0" t="n">
        <f aca="false">_xlfn.NORM.DIST(H316,$E$346,$E$347,0)</f>
        <v>0.0779108821916689</v>
      </c>
      <c r="J316" s="0" t="n">
        <f aca="false">_xlfn.NORM.DIST(H316,$E$346,$E$347,1)</f>
        <v>0.991763883931701</v>
      </c>
    </row>
    <row r="317" customFormat="false" ht="12.8" hidden="false" customHeight="false" outlineLevel="0" collapsed="false">
      <c r="A317" s="0" t="n">
        <f aca="false">'Исходные данные'!A317</f>
        <v>0.182779</v>
      </c>
      <c r="B317" s="0" t="n">
        <f aca="false">'Исходные данные'!B317</f>
        <v>162.796</v>
      </c>
      <c r="H317" s="0" t="n">
        <f aca="false">H316+6*$E$347/349</f>
        <v>1.21350714089564</v>
      </c>
      <c r="I317" s="0" t="n">
        <f aca="false">_xlfn.NORM.DIST(H317,$E$346,$E$347,0)</f>
        <v>0.0747527997842836</v>
      </c>
      <c r="J317" s="0" t="n">
        <f aca="false">_xlfn.NORM.DIST(H317,$E$346,$E$347,1)</f>
        <v>0.992142601473262</v>
      </c>
    </row>
    <row r="318" customFormat="false" ht="12.8" hidden="false" customHeight="false" outlineLevel="0" collapsed="false">
      <c r="A318" s="0" t="n">
        <f aca="false">'Исходные данные'!A318</f>
        <v>0.0447761</v>
      </c>
      <c r="B318" s="0" t="n">
        <f aca="false">'Исходные данные'!B318</f>
        <v>162.841</v>
      </c>
      <c r="H318" s="0" t="n">
        <f aca="false">H317+6*$E$347/349</f>
        <v>1.21846918875783</v>
      </c>
      <c r="I318" s="0" t="n">
        <f aca="false">_xlfn.NORM.DIST(H318,$E$346,$E$347,0)</f>
        <v>0.0717015332907872</v>
      </c>
      <c r="J318" s="0" t="n">
        <f aca="false">_xlfn.NORM.DIST(H318,$E$346,$E$347,1)</f>
        <v>0.99250591454692</v>
      </c>
    </row>
    <row r="319" customFormat="false" ht="12.8" hidden="false" customHeight="false" outlineLevel="0" collapsed="false">
      <c r="A319" s="0" t="n">
        <f aca="false">'Исходные данные'!A319</f>
        <v>0.971958</v>
      </c>
      <c r="B319" s="0" t="n">
        <f aca="false">'Исходные данные'!B319</f>
        <v>163.812</v>
      </c>
      <c r="H319" s="0" t="n">
        <f aca="false">H318+6*$E$347/349</f>
        <v>1.22343123662003</v>
      </c>
      <c r="I319" s="0" t="n">
        <f aca="false">_xlfn.NORM.DIST(H319,$E$346,$E$347,0)</f>
        <v>0.0687544893064711</v>
      </c>
      <c r="J319" s="0" t="n">
        <f aca="false">_xlfn.NORM.DIST(H319,$E$346,$E$347,1)</f>
        <v>0.99285434673805</v>
      </c>
    </row>
    <row r="320" customFormat="false" ht="12.8" hidden="false" customHeight="false" outlineLevel="0" collapsed="false">
      <c r="A320" s="0" t="n">
        <f aca="false">'Исходные данные'!A320</f>
        <v>0.196727</v>
      </c>
      <c r="B320" s="0" t="n">
        <f aca="false">'Исходные данные'!B320</f>
        <v>164.009</v>
      </c>
      <c r="H320" s="0" t="n">
        <f aca="false">H319+6*$E$347/349</f>
        <v>1.22839328448222</v>
      </c>
      <c r="I320" s="0" t="n">
        <f aca="false">_xlfn.NORM.DIST(H320,$E$346,$E$347,0)</f>
        <v>0.0659090901523369</v>
      </c>
      <c r="J320" s="0" t="n">
        <f aca="false">_xlfn.NORM.DIST(H320,$E$346,$E$347,1)</f>
        <v>0.993188408801453</v>
      </c>
    </row>
    <row r="321" customFormat="false" ht="12.8" hidden="false" customHeight="false" outlineLevel="0" collapsed="false">
      <c r="A321" s="0" t="n">
        <f aca="false">'Исходные данные'!A321</f>
        <v>0.564353</v>
      </c>
      <c r="B321" s="0" t="n">
        <f aca="false">'Исходные данные'!B321</f>
        <v>164.574</v>
      </c>
      <c r="H321" s="0" t="n">
        <f aca="false">H320+6*$E$347/349</f>
        <v>1.23335533234442</v>
      </c>
      <c r="I321" s="0" t="n">
        <f aca="false">_xlfn.NORM.DIST(H321,$E$346,$E$347,0)</f>
        <v>0.0631627762125643</v>
      </c>
      <c r="J321" s="0" t="n">
        <f aca="false">_xlfn.NORM.DIST(H321,$E$346,$E$347,1)</f>
        <v>0.993508598745236</v>
      </c>
    </row>
    <row r="322" customFormat="false" ht="12.8" hidden="false" customHeight="false" outlineLevel="0" collapsed="false">
      <c r="A322" s="0" t="n">
        <f aca="false">'Исходные данные'!A322</f>
        <v>0.384818</v>
      </c>
      <c r="B322" s="0" t="n">
        <f aca="false">'Исходные данные'!B322</f>
        <v>164.958</v>
      </c>
      <c r="H322" s="0" t="n">
        <f aca="false">H321+6*$E$347/349</f>
        <v>1.23831738020661</v>
      </c>
      <c r="I322" s="0" t="n">
        <f aca="false">_xlfn.NORM.DIST(H322,$E$346,$E$347,0)</f>
        <v>0.0605130081494524</v>
      </c>
      <c r="J322" s="0" t="n">
        <f aca="false">_xlfn.NORM.DIST(H322,$E$346,$E$347,1)</f>
        <v>0.993815401925991</v>
      </c>
    </row>
    <row r="323" customFormat="false" ht="12.8" hidden="false" customHeight="false" outlineLevel="0" collapsed="false">
      <c r="A323" s="0" t="n">
        <f aca="false">'Исходные данные'!A323</f>
        <v>0.680759</v>
      </c>
      <c r="B323" s="0" t="n">
        <f aca="false">'Исходные данные'!B323</f>
        <v>165.639</v>
      </c>
      <c r="H323" s="0" t="n">
        <f aca="false">H322+6*$E$347/349</f>
        <v>1.24327942806881</v>
      </c>
      <c r="I323" s="0" t="n">
        <f aca="false">_xlfn.NORM.DIST(H323,$E$346,$E$347,0)</f>
        <v>0.0579572689970596</v>
      </c>
      <c r="J323" s="0" t="n">
        <f aca="false">_xlfn.NORM.DIST(H323,$E$346,$E$347,1)</f>
        <v>0.994109291154658</v>
      </c>
    </row>
    <row r="324" customFormat="false" ht="12.8" hidden="false" customHeight="false" outlineLevel="0" collapsed="false">
      <c r="A324" s="0" t="n">
        <f aca="false">'Исходные данные'!A324</f>
        <v>0.611435</v>
      </c>
      <c r="B324" s="0" t="n">
        <f aca="false">'Исходные данные'!B324</f>
        <v>166.251</v>
      </c>
      <c r="H324" s="0" t="n">
        <f aca="false">H323+6*$E$347/349</f>
        <v>1.24824147593101</v>
      </c>
      <c r="I324" s="0" t="n">
        <f aca="false">_xlfn.NORM.DIST(H324,$E$346,$E$347,0)</f>
        <v>0.0554930661349639</v>
      </c>
      <c r="J324" s="0" t="n">
        <f aca="false">_xlfn.NORM.DIST(H324,$E$346,$E$347,1)</f>
        <v>0.994390726812481</v>
      </c>
    </row>
    <row r="325" customFormat="false" ht="12.8" hidden="false" customHeight="false" outlineLevel="0" collapsed="false">
      <c r="A325" s="0" t="n">
        <f aca="false">'Исходные данные'!A325</f>
        <v>0.52104</v>
      </c>
      <c r="B325" s="0" t="n">
        <f aca="false">'Исходные данные'!B325</f>
        <v>166.772</v>
      </c>
      <c r="H325" s="0" t="n">
        <f aca="false">H324+6*$E$347/349</f>
        <v>1.2532035237932</v>
      </c>
      <c r="I325" s="0" t="n">
        <f aca="false">_xlfn.NORM.DIST(H325,$E$346,$E$347,0)</f>
        <v>0.0531179331437443</v>
      </c>
      <c r="J325" s="0" t="n">
        <f aca="false">_xlfn.NORM.DIST(H325,$E$346,$E$347,1)</f>
        <v>0.994660156976467</v>
      </c>
    </row>
    <row r="326" customFormat="false" ht="12.8" hidden="false" customHeight="false" outlineLevel="0" collapsed="false">
      <c r="A326" s="0" t="n">
        <f aca="false">'Исходные данные'!A326</f>
        <v>0.942385</v>
      </c>
      <c r="B326" s="0" t="n">
        <f aca="false">'Исходные данные'!B326</f>
        <v>167.714</v>
      </c>
      <c r="H326" s="0" t="n">
        <f aca="false">H325+6*$E$347/349</f>
        <v>1.2581655716554</v>
      </c>
      <c r="I326" s="0" t="n">
        <f aca="false">_xlfn.NORM.DIST(H326,$E$346,$E$347,0)</f>
        <v>0.0508294315439605</v>
      </c>
      <c r="J326" s="0" t="n">
        <f aca="false">_xlfn.NORM.DIST(H326,$E$346,$E$347,1)</f>
        <v>0.994918017553754</v>
      </c>
    </row>
    <row r="327" customFormat="false" ht="12.8" hidden="false" customHeight="false" outlineLevel="0" collapsed="false">
      <c r="A327" s="0" t="n">
        <f aca="false">'Исходные данные'!A327</f>
        <v>0.716438</v>
      </c>
      <c r="B327" s="0" t="n">
        <f aca="false">'Исходные данные'!B327</f>
        <v>168.43</v>
      </c>
      <c r="H327" s="0" t="n">
        <f aca="false">H326+6*$E$347/349</f>
        <v>1.26312761951759</v>
      </c>
      <c r="I327" s="0" t="n">
        <f aca="false">_xlfn.NORM.DIST(H327,$E$346,$E$347,0)</f>
        <v>0.0486251524205661</v>
      </c>
      <c r="J327" s="0" t="n">
        <f aca="false">_xlfn.NORM.DIST(H327,$E$346,$E$347,1)</f>
        <v>0.995164732424332</v>
      </c>
    </row>
    <row r="328" customFormat="false" ht="12.8" hidden="false" customHeight="false" outlineLevel="0" collapsed="false">
      <c r="A328" s="0" t="n">
        <f aca="false">'Исходные данные'!A328</f>
        <v>0.514293</v>
      </c>
      <c r="B328" s="0" t="n">
        <f aca="false">'Исходные данные'!B328</f>
        <v>168.945</v>
      </c>
      <c r="H328" s="0" t="n">
        <f aca="false">H327+6*$E$347/349</f>
        <v>1.26808966737979</v>
      </c>
      <c r="I328" s="0" t="n">
        <f aca="false">_xlfn.NORM.DIST(H328,$E$346,$E$347,0)</f>
        <v>0.0465027179348394</v>
      </c>
      <c r="J328" s="0" t="n">
        <f aca="false">_xlfn.NORM.DIST(H328,$E$346,$E$347,1)</f>
        <v>0.995400713591534</v>
      </c>
    </row>
    <row r="329" customFormat="false" ht="12.8" hidden="false" customHeight="false" outlineLevel="0" collapsed="false">
      <c r="A329" s="0" t="n">
        <f aca="false">'Исходные данные'!A329</f>
        <v>0.480389</v>
      </c>
      <c r="B329" s="0" t="n">
        <f aca="false">'Исходные данные'!B329</f>
        <v>169.425</v>
      </c>
      <c r="H329" s="0" t="n">
        <f aca="false">H328+6*$E$347/349</f>
        <v>1.27305171524198</v>
      </c>
      <c r="I329" s="0" t="n">
        <f aca="false">_xlfn.NORM.DIST(H329,$E$346,$E$347,0)</f>
        <v>0.0444597827260565</v>
      </c>
      <c r="J329" s="0" t="n">
        <f aca="false">_xlfn.NORM.DIST(H329,$E$346,$E$347,1)</f>
        <v>0.995626361339771</v>
      </c>
    </row>
    <row r="330" customFormat="false" ht="12.8" hidden="false" customHeight="false" outlineLevel="0" collapsed="false">
      <c r="A330" s="0" t="n">
        <f aca="false">'Исходные данные'!A330</f>
        <v>0.964789</v>
      </c>
      <c r="B330" s="0" t="n">
        <f aca="false">'Исходные данные'!B330</f>
        <v>170.39</v>
      </c>
      <c r="H330" s="0" t="n">
        <f aca="false">H329+6*$E$347/349</f>
        <v>1.27801376310418</v>
      </c>
      <c r="I330" s="0" t="n">
        <f aca="false">_xlfn.NORM.DIST(H330,$E$346,$E$347,0)</f>
        <v>0.0424940352052563</v>
      </c>
      <c r="J330" s="0" t="n">
        <f aca="false">_xlfn.NORM.DIST(H330,$E$346,$E$347,1)</f>
        <v>0.995842064398933</v>
      </c>
    </row>
    <row r="331" customFormat="false" ht="12.8" hidden="false" customHeight="false" outlineLevel="0" collapsed="false">
      <c r="A331" s="0" t="n">
        <f aca="false">'Исходные данные'!A331</f>
        <v>0.788449</v>
      </c>
      <c r="B331" s="0" t="n">
        <f aca="false">'Исходные данные'!B331</f>
        <v>171.178</v>
      </c>
      <c r="H331" s="0" t="n">
        <f aca="false">H330+6*$E$347/349</f>
        <v>1.28297581096638</v>
      </c>
      <c r="I331" s="0" t="n">
        <f aca="false">_xlfn.NORM.DIST(H331,$E$346,$E$347,0)</f>
        <v>0.0406031987435628</v>
      </c>
      <c r="J331" s="0" t="n">
        <f aca="false">_xlfn.NORM.DIST(H331,$E$346,$E$347,1)</f>
        <v>0.996048200114962</v>
      </c>
    </row>
    <row r="332" customFormat="false" ht="12.8" hidden="false" customHeight="false" outlineLevel="0" collapsed="false">
      <c r="A332" s="0" t="n">
        <f aca="false">'Исходные данные'!A332</f>
        <v>0.52224</v>
      </c>
      <c r="B332" s="0" t="n">
        <f aca="false">'Исходные данные'!B332</f>
        <v>171.701</v>
      </c>
      <c r="H332" s="0" t="n">
        <f aca="false">H331+6*$E$347/349</f>
        <v>1.28793785882857</v>
      </c>
      <c r="I332" s="0" t="n">
        <f aca="false">_xlfn.NORM.DIST(H332,$E$346,$E$347,0)</f>
        <v>0.0387850327576373</v>
      </c>
      <c r="J332" s="0" t="n">
        <f aca="false">_xlfn.NORM.DIST(H332,$E$346,$E$347,1)</f>
        <v>0.996245134626064</v>
      </c>
    </row>
    <row r="333" customFormat="false" ht="12.8" hidden="false" customHeight="false" outlineLevel="0" collapsed="false">
      <c r="A333" s="0" t="n">
        <f aca="false">'Исходные данные'!A333</f>
        <v>0.0842901</v>
      </c>
      <c r="B333" s="0" t="n">
        <f aca="false">'Исходные данные'!B333</f>
        <v>171.785</v>
      </c>
      <c r="H333" s="0" t="n">
        <f aca="false">H332+6*$E$347/349</f>
        <v>1.29289990669077</v>
      </c>
      <c r="I333" s="0" t="n">
        <f aca="false">_xlfn.NORM.DIST(H333,$E$346,$E$347,0)</f>
        <v>0.0370373336949261</v>
      </c>
      <c r="J333" s="0" t="n">
        <f aca="false">_xlfn.NORM.DIST(H333,$E$346,$E$347,1)</f>
        <v>0.996433223044047</v>
      </c>
    </row>
    <row r="334" customFormat="false" ht="12.8" hidden="false" customHeight="false" outlineLevel="0" collapsed="false">
      <c r="A334" s="0" t="n">
        <f aca="false">'Исходные данные'!A334</f>
        <v>0.201699</v>
      </c>
      <c r="B334" s="0" t="n">
        <f aca="false">'Исходные данные'!B334</f>
        <v>171.987</v>
      </c>
      <c r="H334" s="0" t="n">
        <f aca="false">H333+6*$E$347/349</f>
        <v>1.29786195455296</v>
      </c>
      <c r="I334" s="0" t="n">
        <f aca="false">_xlfn.NORM.DIST(H334,$E$346,$E$347,0)</f>
        <v>0.0353579359214552</v>
      </c>
      <c r="J334" s="0" t="n">
        <f aca="false">_xlfn.NORM.DIST(H334,$E$346,$E$347,1)</f>
        <v>0.996612809640316</v>
      </c>
    </row>
    <row r="335" customFormat="false" ht="12.8" hidden="false" customHeight="false" outlineLevel="0" collapsed="false">
      <c r="A335" s="0" t="n">
        <f aca="false">'Исходные данные'!A335</f>
        <v>0.863279</v>
      </c>
      <c r="B335" s="0" t="n">
        <f aca="false">'Исходные данные'!B335</f>
        <v>172.85</v>
      </c>
      <c r="H335" s="0" t="n">
        <f aca="false">H334+6*$E$347/349</f>
        <v>1.30282400241516</v>
      </c>
      <c r="I335" s="0" t="n">
        <f aca="false">_xlfn.NORM.DIST(H335,$E$346,$E$347,0)</f>
        <v>0.0337447125149947</v>
      </c>
      <c r="J335" s="0" t="n">
        <f aca="false">_xlfn.NORM.DIST(H335,$E$346,$E$347,1)</f>
        <v>0.996784228036034</v>
      </c>
    </row>
    <row r="336" customFormat="false" ht="12.8" hidden="false" customHeight="false" outlineLevel="0" collapsed="false">
      <c r="A336" s="0" t="n">
        <f aca="false">'Исходные данные'!A336</f>
        <v>0.622476</v>
      </c>
      <c r="B336" s="0" t="n">
        <f aca="false">'Исходные данные'!B336</f>
        <v>173.472</v>
      </c>
      <c r="H336" s="0" t="n">
        <f aca="false">H335+6*$E$347/349</f>
        <v>1.30778605027735</v>
      </c>
      <c r="I336" s="0" t="n">
        <f aca="false">_xlfn.NORM.DIST(H336,$E$346,$E$347,0)</f>
        <v>0.0321955759664848</v>
      </c>
      <c r="J336" s="0" t="n">
        <f aca="false">_xlfn.NORM.DIST(H336,$E$346,$E$347,1)</f>
        <v>0.996947801395985</v>
      </c>
    </row>
    <row r="337" customFormat="false" ht="12.8" hidden="false" customHeight="false" outlineLevel="0" collapsed="false">
      <c r="A337" s="0" t="n">
        <f aca="false">'Исходные данные'!A337</f>
        <v>0.813779</v>
      </c>
      <c r="B337" s="0" t="n">
        <f aca="false">'Исходные данные'!B337</f>
        <v>174.286</v>
      </c>
      <c r="H337" s="0" t="n">
        <f aca="false">H336+6*$E$347/349</f>
        <v>1.31274809813955</v>
      </c>
      <c r="I337" s="0" t="n">
        <f aca="false">_xlfn.NORM.DIST(H337,$E$346,$E$347,0)</f>
        <v>0.0307084787926658</v>
      </c>
      <c r="J337" s="0" t="n">
        <f aca="false">_xlfn.NORM.DIST(H337,$E$346,$E$347,1)</f>
        <v>0.997103842625706</v>
      </c>
    </row>
    <row r="338" customFormat="false" ht="12.8" hidden="false" customHeight="false" outlineLevel="0" collapsed="false">
      <c r="A338" s="0" t="n">
        <f aca="false">'Исходные данные'!A338</f>
        <v>0.0124575</v>
      </c>
      <c r="B338" s="0" t="n">
        <f aca="false">'Исходные данные'!B338</f>
        <v>174.299</v>
      </c>
      <c r="H338" s="0" t="n">
        <f aca="false">H337+6*$E$347/349</f>
        <v>1.31771014600174</v>
      </c>
      <c r="I338" s="0" t="n">
        <f aca="false">_xlfn.NORM.DIST(H338,$E$346,$E$347,0)</f>
        <v>0.0292814140629022</v>
      </c>
      <c r="J338" s="0" t="n">
        <f aca="false">_xlfn.NORM.DIST(H338,$E$346,$E$347,1)</f>
        <v>0.997252654571433</v>
      </c>
    </row>
    <row r="339" customFormat="false" ht="12.8" hidden="false" customHeight="false" outlineLevel="0" collapsed="false">
      <c r="A339" s="0" t="n">
        <f aca="false">'Исходные данные'!A339</f>
        <v>0.721219</v>
      </c>
      <c r="B339" s="0" t="n">
        <f aca="false">'Исходные данные'!B339</f>
        <v>175.02</v>
      </c>
      <c r="H339" s="0" t="n">
        <f aca="false">H338+6*$E$347/349</f>
        <v>1.32267219386394</v>
      </c>
      <c r="I339" s="0" t="n">
        <f aca="false">_xlfn.NORM.DIST(H339,$E$346,$E$347,0)</f>
        <v>0.0279124158432271</v>
      </c>
      <c r="J339" s="0" t="n">
        <f aca="false">_xlfn.NORM.DIST(H339,$E$346,$E$347,1)</f>
        <v>0.997394530222465</v>
      </c>
    </row>
    <row r="340" customFormat="false" ht="12.8" hidden="false" customHeight="false" outlineLevel="0" collapsed="false">
      <c r="A340" s="0" t="n">
        <f aca="false">'Исходные данные'!A340</f>
        <v>0.407219</v>
      </c>
      <c r="B340" s="0" t="n">
        <f aca="false">'Исходные данные'!B340</f>
        <v>175.427</v>
      </c>
      <c r="H340" s="0" t="n">
        <f aca="false">H339+6*$E$347/349</f>
        <v>1.32763424172614</v>
      </c>
      <c r="I340" s="0" t="n">
        <f aca="false">_xlfn.NORM.DIST(H340,$E$346,$E$347,0)</f>
        <v>0.0265995595606614</v>
      </c>
      <c r="J340" s="0" t="n">
        <f aca="false">_xlfn.NORM.DIST(H340,$E$346,$E$347,1)</f>
        <v>0.997529752915524</v>
      </c>
    </row>
    <row r="341" customFormat="false" ht="12.8" hidden="false" customHeight="false" outlineLevel="0" collapsed="false">
      <c r="A341" s="0" t="n">
        <f aca="false">'Исходные данные'!A341</f>
        <v>0.663045</v>
      </c>
      <c r="B341" s="0" t="n">
        <f aca="false">'Исходные данные'!B341</f>
        <v>176.09</v>
      </c>
      <c r="H341" s="0" t="n">
        <f aca="false">H340+6*$E$347/349</f>
        <v>1.33259628958833</v>
      </c>
      <c r="I341" s="0" t="n">
        <f aca="false">_xlfn.NORM.DIST(H341,$E$346,$E$347,0)</f>
        <v>0.0253409622908801</v>
      </c>
      <c r="J341" s="0" t="n">
        <f aca="false">_xlfn.NORM.DIST(H341,$E$346,$E$347,1)</f>
        <v>0.997658596540736</v>
      </c>
    </row>
    <row r="342" customFormat="false" ht="12.8" hidden="false" customHeight="false" outlineLevel="0" collapsed="false">
      <c r="A342" s="0" t="n">
        <f aca="false">'Исходные данные'!A342</f>
        <v>0.500004</v>
      </c>
      <c r="B342" s="0" t="n">
        <f aca="false">'Исходные данные'!B342</f>
        <v>176.59</v>
      </c>
      <c r="H342" s="0" t="n">
        <f aca="false">H341+6*$E$347/349</f>
        <v>1.33755833745053</v>
      </c>
      <c r="I342" s="0" t="n">
        <f aca="false">_xlfn.NORM.DIST(H342,$E$346,$E$347,0)</f>
        <v>0.0241347829723132</v>
      </c>
      <c r="J342" s="0" t="n">
        <f aca="false">_xlfn.NORM.DIST(H342,$E$346,$E$347,1)</f>
        <v>0.997781325748858</v>
      </c>
    </row>
    <row r="343" customFormat="false" ht="12.8" hidden="false" customHeight="false" outlineLevel="0" collapsed="false">
      <c r="A343" s="0" t="n">
        <f aca="false">'Исходные данные'!A343</f>
        <v>0.857042</v>
      </c>
      <c r="B343" s="0" t="n">
        <f aca="false">'Исходные данные'!B343</f>
        <v>177.447</v>
      </c>
      <c r="H343" s="0" t="n">
        <f aca="false">H342+6*$E$347/349</f>
        <v>1.34252038531272</v>
      </c>
      <c r="I343" s="0" t="n">
        <f aca="false">_xlfn.NORM.DIST(H343,$E$346,$E$347,0)</f>
        <v>0.0229792225497683</v>
      </c>
      <c r="J343" s="0" t="n">
        <f aca="false">_xlfn.NORM.DIST(H343,$E$346,$E$347,1)</f>
        <v>0.997898196159382</v>
      </c>
    </row>
    <row r="344" customFormat="false" ht="12.8" hidden="false" customHeight="false" outlineLevel="0" collapsed="false">
      <c r="A344" s="0" t="n">
        <f aca="false">'Исходные данные'!A344</f>
        <v>0.690099</v>
      </c>
      <c r="B344" s="0" t="n">
        <f aca="false">'Исходные данные'!B344</f>
        <v>178.137</v>
      </c>
      <c r="H344" s="0" t="n">
        <f aca="false">H343+6*$E$347/349</f>
        <v>1.34748243317492</v>
      </c>
      <c r="I344" s="0" t="n">
        <f aca="false">_xlfn.NORM.DIST(H344,$E$346,$E$347,0)</f>
        <v>0.0218725240506616</v>
      </c>
      <c r="J344" s="0" t="n">
        <f aca="false">_xlfn.NORM.DIST(H344,$E$346,$E$347,1)</f>
        <v>0.998009454569193</v>
      </c>
    </row>
    <row r="345" customFormat="false" ht="12.8" hidden="false" customHeight="false" outlineLevel="0" collapsed="false">
      <c r="A345" s="0" t="n">
        <f aca="false">'Исходные данные'!A345</f>
        <v>0.474682</v>
      </c>
      <c r="B345" s="0" t="n">
        <f aca="false">'Исходные данные'!B345</f>
        <v>178.612</v>
      </c>
      <c r="H345" s="0" t="n">
        <f aca="false">H344+6*$E$347/349</f>
        <v>1.35244448103711</v>
      </c>
      <c r="I345" s="0" t="n">
        <f aca="false">_xlfn.NORM.DIST(H345,$E$346,$E$347,0)</f>
        <v>0.0208129725969321</v>
      </c>
      <c r="J345" s="0" t="n">
        <f aca="false">_xlfn.NORM.DIST(H345,$E$346,$E$347,1)</f>
        <v>0.998115339161441</v>
      </c>
    </row>
    <row r="346" customFormat="false" ht="17.35" hidden="false" customHeight="false" outlineLevel="0" collapsed="false">
      <c r="A346" s="0" t="n">
        <f aca="false">'Исходные данные'!A346</f>
        <v>0.821221</v>
      </c>
      <c r="B346" s="0" t="n">
        <f aca="false">'Исходные данные'!B346</f>
        <v>179.433</v>
      </c>
      <c r="D346" s="3" t="s">
        <v>9</v>
      </c>
      <c r="E346" s="8" t="n">
        <f aca="false">AVERAGE(A2:A351)</f>
        <v>0.516339416257143</v>
      </c>
      <c r="H346" s="0" t="n">
        <f aca="false">H345+6*$E$347/349</f>
        <v>1.35740652889931</v>
      </c>
      <c r="I346" s="0" t="n">
        <f aca="false">_xlfn.NORM.DIST(H346,$E$346,$E$347,0)</f>
        <v>0.0197988953556984</v>
      </c>
      <c r="J346" s="0" t="n">
        <f aca="false">_xlfn.NORM.DIST(H346,$E$346,$E$347,1)</f>
        <v>0.998216079714315</v>
      </c>
    </row>
    <row r="347" customFormat="false" ht="17.35" hidden="false" customHeight="false" outlineLevel="0" collapsed="false">
      <c r="A347" s="0" t="n">
        <f aca="false">'Исходные данные'!A347</f>
        <v>0.672116</v>
      </c>
      <c r="B347" s="0" t="n">
        <f aca="false">'Исходные данные'!B347</f>
        <v>180.105</v>
      </c>
      <c r="D347" s="3" t="s">
        <v>10</v>
      </c>
      <c r="E347" s="8" t="n">
        <f aca="false">STDEV(A2:A351)</f>
        <v>0.288625783984381</v>
      </c>
      <c r="H347" s="0" t="n">
        <f aca="false">H346+6*$E$347/349</f>
        <v>1.36236857676151</v>
      </c>
      <c r="I347" s="0" t="n">
        <f aca="false">_xlfn.NORM.DIST(H347,$E$346,$E$347,0)</f>
        <v>0.018828661431692</v>
      </c>
      <c r="J347" s="0" t="n">
        <f aca="false">_xlfn.NORM.DIST(H347,$E$346,$E$347,1)</f>
        <v>0.998311897809431</v>
      </c>
    </row>
    <row r="348" customFormat="false" ht="12.8" hidden="false" customHeight="false" outlineLevel="0" collapsed="false">
      <c r="A348" s="0" t="n">
        <f aca="false">'Исходные данные'!A348</f>
        <v>0.237718</v>
      </c>
      <c r="B348" s="0" t="n">
        <f aca="false">'Исходные данные'!B348</f>
        <v>180.343</v>
      </c>
      <c r="H348" s="0" t="n">
        <f aca="false">H347+6*$E$347/349</f>
        <v>1.3673306246237</v>
      </c>
      <c r="I348" s="0" t="n">
        <f aca="false">_xlfn.NORM.DIST(H348,$E$346,$E$347,0)</f>
        <v>0.0179006817044741</v>
      </c>
      <c r="J348" s="0" t="n">
        <f aca="false">_xlfn.NORM.DIST(H348,$E$346,$E$347,1)</f>
        <v>0.998403007039549</v>
      </c>
    </row>
    <row r="349" customFormat="false" ht="12.8" hidden="false" customHeight="false" outlineLevel="0" collapsed="false">
      <c r="A349" s="0" t="n">
        <f aca="false">'Исходные данные'!A349</f>
        <v>0.0214121</v>
      </c>
      <c r="B349" s="0" t="n">
        <f aca="false">'Исходные данные'!B349</f>
        <v>180.364</v>
      </c>
      <c r="H349" s="0" t="n">
        <f aca="false">H348+6*$E$347/349</f>
        <v>1.3722926724859</v>
      </c>
      <c r="I349" s="0" t="n">
        <f aca="false">_xlfn.NORM.DIST(H349,$E$346,$E$347,0)</f>
        <v>0.0170134086134068</v>
      </c>
      <c r="J349" s="0" t="n">
        <f aca="false">_xlfn.NORM.DIST(H349,$E$346,$E$347,1)</f>
        <v>0.998489613215347</v>
      </c>
    </row>
    <row r="350" customFormat="false" ht="12.8" hidden="false" customHeight="false" outlineLevel="0" collapsed="false">
      <c r="A350" s="0" t="n">
        <f aca="false">'Исходные данные'!A350</f>
        <v>0.105357</v>
      </c>
      <c r="B350" s="0" t="n">
        <f aca="false">'Исходные данные'!B350</f>
        <v>180.47</v>
      </c>
      <c r="H350" s="0" t="n">
        <f aca="false">H349+6*$E$347/349</f>
        <v>1.37725472034809</v>
      </c>
      <c r="I350" s="0" t="n">
        <f aca="false">_xlfn.NORM.DIST(H350,$E$346,$E$347,0)</f>
        <v>0.0161653358933106</v>
      </c>
      <c r="J350" s="0" t="n">
        <f aca="false">_xlfn.NORM.DIST(H350,$E$346,$E$347,1)</f>
        <v>0.998571914571006</v>
      </c>
    </row>
    <row r="351" customFormat="false" ht="17.35" hidden="false" customHeight="false" outlineLevel="0" collapsed="false">
      <c r="A351" s="0" t="n">
        <f aca="false">'Исходные данные'!A351</f>
        <v>0.249069</v>
      </c>
      <c r="B351" s="0" t="n">
        <f aca="false">'Исходные данные'!B351</f>
        <v>180.719</v>
      </c>
      <c r="F351" s="1" t="s">
        <v>11</v>
      </c>
      <c r="G351" s="0" t="n">
        <f aca="false">(E346+3*E347)</f>
        <v>1.38221676821029</v>
      </c>
      <c r="H351" s="0" t="n">
        <f aca="false">H350+6*$E$347/349</f>
        <v>1.38221676821029</v>
      </c>
      <c r="I351" s="0" t="n">
        <f aca="false">_xlfn.NORM.DIST(H351,$E$346,$E$347,0)</f>
        <v>0.0153549982636956</v>
      </c>
      <c r="J351" s="0" t="n">
        <f aca="false">_xlfn.NORM.DIST(H351,$E$346,$E$347,1)</f>
        <v>0.99865010196837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2025-11-22T23:09:55Z</dcterms:created>
  <dc:creator/>
  <dc:description/>
  <dc:language>ru-RU</dc:language>
  <cp:lastModifiedBy/>
  <dcterms:modified xsi:type="dcterms:W3CDTF">2025-11-23T01:37:20Z</dcterms:modified>
  <cp:revision>1</cp:revision>
  <dc:subject/>
  <dc:title/>
</cp:coreProperties>
</file>